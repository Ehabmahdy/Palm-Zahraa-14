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hab2\OneDrive\Desktop\"/>
    </mc:Choice>
  </mc:AlternateContent>
  <xr:revisionPtr revIDLastSave="0" documentId="13_ncr:1_{9B7B683E-44A7-4447-9A5F-24ACFD834826}" xr6:coauthVersionLast="47" xr6:coauthVersionMax="47" xr10:uidLastSave="{00000000-0000-0000-0000-000000000000}"/>
  <bookViews>
    <workbookView xWindow="-98" yWindow="-98" windowWidth="23236" windowHeight="13875" tabRatio="942" activeTab="10" xr2:uid="{00000000-000D-0000-FFFF-FFFF00000000}"/>
  </bookViews>
  <sheets>
    <sheet name="Check Error" sheetId="28" r:id="rId1"/>
    <sheet name="Summary Sheet" sheetId="26" r:id="rId2"/>
    <sheet name="YTD Income (Combined)" sheetId="36" r:id="rId3"/>
    <sheet name="Annual expenses (combined)" sheetId="18" r:id="rId4"/>
    <sheet name="YTD expense Analysis " sheetId="19" r:id="rId5"/>
    <sheet name="January" sheetId="1" r:id="rId6"/>
    <sheet name="Feb." sheetId="20" r:id="rId7"/>
    <sheet name="Mar." sheetId="21" r:id="rId8"/>
    <sheet name="Apr." sheetId="22" r:id="rId9"/>
    <sheet name="May" sheetId="29" r:id="rId10"/>
    <sheet name="Jun" sheetId="30" r:id="rId11"/>
    <sheet name="Jul" sheetId="31" r:id="rId12"/>
    <sheet name="Aug" sheetId="32" r:id="rId13"/>
    <sheet name="Sep" sheetId="33" r:id="rId14"/>
    <sheet name="Oct" sheetId="34" r:id="rId15"/>
    <sheet name="Nov" sheetId="35" r:id="rId16"/>
    <sheet name="Dec" sheetId="37" r:id="rId17"/>
    <sheet name="Annual income ( Elevator)" sheetId="23" r:id="rId18"/>
    <sheet name="Annual income (maintenenace)" sheetId="15" r:id="rId19"/>
    <sheet name="Annual Income (Combined)" sheetId="24" r:id="rId20"/>
    <sheet name="Annual Due Amount (Maintenance)" sheetId="16" r:id="rId21"/>
    <sheet name="Annual Due Amount (Elevator)" sheetId="17" r:id="rId22"/>
    <sheet name="Annual Due Amount (combined)" sheetId="27" r:id="rId23"/>
    <sheet name="Sheet3" sheetId="25" r:id="rId24"/>
    <sheet name="Feb" sheetId="2" state="hidden" r:id="rId25"/>
  </sheets>
  <definedNames>
    <definedName name="_xlnm._FilterDatabase" localSheetId="22" hidden="1">'Annual Due Amount (combined)'!$C$6:$V$33</definedName>
    <definedName name="_xlnm._FilterDatabase" localSheetId="21" hidden="1">'Annual Due Amount (Elevator)'!$C$7:$G$34</definedName>
    <definedName name="_xlnm._FilterDatabase" localSheetId="20" hidden="1">'Annual Due Amount (Maintenance)'!$C$7:$G$34</definedName>
    <definedName name="_xlnm._FilterDatabase" localSheetId="3" hidden="1">'Annual expenses (combined)'!$Q$3:$Q$36</definedName>
    <definedName name="_xlnm._FilterDatabase" localSheetId="17" hidden="1">'Annual income ( Elevator)'!$C$7:$G$34</definedName>
    <definedName name="_xlnm._FilterDatabase" localSheetId="19" hidden="1">'Annual Income (Combined)'!$C$6:$R$6</definedName>
    <definedName name="_xlnm._FilterDatabase" localSheetId="18" hidden="1">'Annual income (maintenenace)'!$C$7:$G$34</definedName>
    <definedName name="_xlnm._FilterDatabase" localSheetId="8" hidden="1">Apr.!$C$8:$G$36</definedName>
    <definedName name="_xlnm._FilterDatabase" localSheetId="12" hidden="1">Aug!$Q$7:$S$18</definedName>
    <definedName name="_xlnm._FilterDatabase" localSheetId="16" hidden="1">Dec!$Q$7:$S$18</definedName>
    <definedName name="_xlnm._FilterDatabase" localSheetId="6" hidden="1">Feb.!$C$7:$G$34</definedName>
    <definedName name="_xlnm._FilterDatabase" localSheetId="5" hidden="1">January!$C$7:$G$34</definedName>
    <definedName name="_xlnm._FilterDatabase" localSheetId="11" hidden="1">Jul!$Q$7:$S$18</definedName>
    <definedName name="_xlnm._FilterDatabase" localSheetId="10" hidden="1">Jun!$Q$7:$S$18</definedName>
    <definedName name="_xlnm._FilterDatabase" localSheetId="7" hidden="1">Mar.!$C$7:$G$34</definedName>
    <definedName name="_xlnm._FilterDatabase" localSheetId="9" hidden="1">May!$Q$7:$S$18</definedName>
    <definedName name="_xlnm._FilterDatabase" localSheetId="15" hidden="1">Nov!$Q$7:$S$18</definedName>
    <definedName name="_xlnm._FilterDatabase" localSheetId="14" hidden="1">Oct!$Q$7:$S$18</definedName>
    <definedName name="_xlnm._FilterDatabase" localSheetId="13" hidden="1">Sep!$Q$7:$S$20</definedName>
    <definedName name="_xlnm._FilterDatabase" localSheetId="1" hidden="1">'Summary Sheet'!#REF!</definedName>
    <definedName name="_xlnm._FilterDatabase" localSheetId="4" hidden="1">'YTD expense Analysis '!$AI$5:$AK$5</definedName>
    <definedName name="_xlnm._FilterDatabase" localSheetId="2" hidden="1">'YTD Income (Combined)'!$C$6:$R$6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30" l="1"/>
  <c r="S29" i="30"/>
  <c r="S23" i="30"/>
  <c r="X43" i="29"/>
  <c r="X40" i="29"/>
  <c r="X39" i="29"/>
  <c r="X33" i="29"/>
  <c r="W39" i="29"/>
  <c r="V44" i="29"/>
  <c r="S31" i="29"/>
  <c r="S44" i="29" s="1"/>
  <c r="W43" i="29"/>
  <c r="V43" i="29"/>
  <c r="W16" i="29"/>
  <c r="Y34" i="22"/>
  <c r="X34" i="22"/>
  <c r="Y33" i="22"/>
  <c r="X33" i="22"/>
  <c r="Y32" i="22"/>
  <c r="X32" i="22"/>
  <c r="Y31" i="22"/>
  <c r="X31" i="22"/>
  <c r="Y30" i="22"/>
  <c r="X30" i="22"/>
  <c r="Y29" i="22"/>
  <c r="X29" i="22"/>
  <c r="Y28" i="22"/>
  <c r="X28" i="22"/>
  <c r="Y27" i="22"/>
  <c r="X27" i="22"/>
  <c r="Y26" i="22"/>
  <c r="X26" i="22"/>
  <c r="Y25" i="22"/>
  <c r="X25" i="22"/>
  <c r="Y24" i="22"/>
  <c r="X24" i="22"/>
  <c r="Y23" i="22"/>
  <c r="X23" i="22"/>
  <c r="Y22" i="22"/>
  <c r="X22" i="22"/>
  <c r="Y21" i="22"/>
  <c r="X21" i="22"/>
  <c r="Y20" i="22"/>
  <c r="X20" i="22"/>
  <c r="Y19" i="22"/>
  <c r="X19" i="22"/>
  <c r="Y18" i="22"/>
  <c r="X18" i="22"/>
  <c r="Y17" i="22"/>
  <c r="X17" i="22"/>
  <c r="Y16" i="22"/>
  <c r="X16" i="22"/>
  <c r="Y15" i="22"/>
  <c r="X15" i="22"/>
  <c r="Y14" i="22"/>
  <c r="X14" i="22"/>
  <c r="Y13" i="22"/>
  <c r="X13" i="22"/>
  <c r="Y12" i="22"/>
  <c r="X12" i="22"/>
  <c r="Y11" i="22"/>
  <c r="X11" i="22"/>
  <c r="Y10" i="22"/>
  <c r="X10" i="22"/>
  <c r="Y9" i="22"/>
  <c r="X9" i="22"/>
  <c r="Y8" i="22"/>
  <c r="X8" i="22"/>
  <c r="S43" i="29"/>
  <c r="E7" i="26"/>
  <c r="G8" i="26"/>
  <c r="F8" i="26"/>
  <c r="E8" i="26"/>
  <c r="V45" i="22"/>
  <c r="S31" i="22"/>
  <c r="H42" i="21"/>
  <c r="S37" i="21"/>
  <c r="S43" i="22" s="1"/>
  <c r="T17" i="21"/>
  <c r="E30" i="18"/>
  <c r="O36" i="18"/>
  <c r="N36" i="18"/>
  <c r="M36" i="18"/>
  <c r="L36" i="18"/>
  <c r="K36" i="18"/>
  <c r="J36" i="18"/>
  <c r="I36" i="18"/>
  <c r="H36" i="18"/>
  <c r="G36" i="18"/>
  <c r="F36" i="18"/>
  <c r="E26" i="18"/>
  <c r="E32" i="18"/>
  <c r="E11" i="18"/>
  <c r="E17" i="18"/>
  <c r="E31" i="18"/>
  <c r="E10" i="18"/>
  <c r="E9" i="18"/>
  <c r="E8" i="18"/>
  <c r="E7" i="18"/>
  <c r="E6" i="18"/>
  <c r="U21" i="21"/>
  <c r="T32" i="20"/>
  <c r="T12" i="20"/>
  <c r="T18" i="20" s="1"/>
  <c r="D12" i="18"/>
  <c r="D11" i="18"/>
  <c r="D10" i="18"/>
  <c r="D9" i="18"/>
  <c r="D8" i="18"/>
  <c r="D7" i="18"/>
  <c r="D6" i="18"/>
  <c r="D36" i="18" s="1"/>
  <c r="R32" i="1"/>
  <c r="T42" i="1"/>
  <c r="S40" i="20" s="1"/>
  <c r="L36" i="1"/>
  <c r="L35" i="1"/>
  <c r="H33" i="1"/>
  <c r="E36" i="18" l="1"/>
  <c r="U40" i="20"/>
  <c r="S43" i="31"/>
  <c r="S43" i="32" s="1"/>
  <c r="S45" i="33" s="1"/>
  <c r="S43" i="34" s="1"/>
  <c r="S43" i="35" s="1"/>
  <c r="S43" i="37" s="1"/>
  <c r="Q35" i="18" l="1"/>
  <c r="C35" i="18"/>
  <c r="Q19" i="18" l="1"/>
  <c r="AJ20" i="19" s="1"/>
  <c r="O38" i="18"/>
  <c r="O40" i="18" s="1"/>
  <c r="Q13" i="18"/>
  <c r="AJ14" i="19" s="1"/>
  <c r="Q14" i="18"/>
  <c r="AJ15" i="19" s="1"/>
  <c r="Q15" i="18"/>
  <c r="AJ16" i="19" s="1"/>
  <c r="Q16" i="18"/>
  <c r="AJ17" i="19" s="1"/>
  <c r="Q17" i="18"/>
  <c r="AJ18" i="19" s="1"/>
  <c r="Q20" i="18"/>
  <c r="AJ21" i="19" s="1"/>
  <c r="Q21" i="18"/>
  <c r="AJ22" i="19" s="1"/>
  <c r="Q22" i="18"/>
  <c r="AJ23" i="19" s="1"/>
  <c r="Q23" i="18"/>
  <c r="AJ24" i="19" s="1"/>
  <c r="Q24" i="18"/>
  <c r="AJ25" i="19" s="1"/>
  <c r="Q25" i="18"/>
  <c r="AJ26" i="19" s="1"/>
  <c r="Q27" i="18"/>
  <c r="AJ28" i="19" s="1"/>
  <c r="Q28" i="18"/>
  <c r="AJ29" i="19" s="1"/>
  <c r="Q29" i="18"/>
  <c r="AJ30" i="19" s="1"/>
  <c r="Q30" i="18"/>
  <c r="Q31" i="18"/>
  <c r="AJ32" i="19" s="1"/>
  <c r="Q32" i="18"/>
  <c r="AJ33" i="19" s="1"/>
  <c r="Q33" i="18"/>
  <c r="AJ34" i="19" s="1"/>
  <c r="Q8" i="16"/>
  <c r="Q9" i="16"/>
  <c r="Q10" i="16"/>
  <c r="Q11" i="16"/>
  <c r="Q12" i="16"/>
  <c r="Q13" i="16"/>
  <c r="Q14" i="16"/>
  <c r="Q15" i="16"/>
  <c r="Q15" i="27" s="1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1" i="27" s="1"/>
  <c r="Q32" i="16"/>
  <c r="Q32" i="27" s="1"/>
  <c r="Q7" i="16"/>
  <c r="Q9" i="27"/>
  <c r="Q10" i="27"/>
  <c r="Q11" i="27"/>
  <c r="Q12" i="27"/>
  <c r="Q13" i="27"/>
  <c r="Q14" i="27"/>
  <c r="Q22" i="27"/>
  <c r="Q29" i="2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0" i="27" s="1"/>
  <c r="Q21" i="17"/>
  <c r="Q21" i="27" s="1"/>
  <c r="Q22" i="17"/>
  <c r="Q23" i="17"/>
  <c r="Q24" i="17"/>
  <c r="Q25" i="17"/>
  <c r="Q26" i="17"/>
  <c r="Q27" i="17"/>
  <c r="Q28" i="17"/>
  <c r="Q29" i="17"/>
  <c r="Q30" i="17"/>
  <c r="Q31" i="17"/>
  <c r="Q32" i="17"/>
  <c r="Q7" i="17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7" i="15"/>
  <c r="Q8" i="23"/>
  <c r="Q8" i="24" s="1"/>
  <c r="Q8" i="36" s="1"/>
  <c r="Q9" i="23"/>
  <c r="Q9" i="24" s="1"/>
  <c r="Q9" i="36" s="1"/>
  <c r="Q10" i="23"/>
  <c r="Q10" i="24" s="1"/>
  <c r="Q10" i="36" s="1"/>
  <c r="Q11" i="23"/>
  <c r="Q11" i="24" s="1"/>
  <c r="Q11" i="36" s="1"/>
  <c r="Q12" i="23"/>
  <c r="Q12" i="24" s="1"/>
  <c r="Q12" i="36" s="1"/>
  <c r="Q13" i="23"/>
  <c r="Q13" i="24" s="1"/>
  <c r="Q13" i="36" s="1"/>
  <c r="Q14" i="23"/>
  <c r="Q14" i="24" s="1"/>
  <c r="Q14" i="36" s="1"/>
  <c r="Q15" i="23"/>
  <c r="Q15" i="24" s="1"/>
  <c r="Q15" i="36" s="1"/>
  <c r="Q16" i="23"/>
  <c r="Q17" i="23"/>
  <c r="Q17" i="24" s="1"/>
  <c r="Q17" i="36" s="1"/>
  <c r="Q18" i="23"/>
  <c r="Q19" i="23"/>
  <c r="Q20" i="23"/>
  <c r="Q20" i="24" s="1"/>
  <c r="Q20" i="36" s="1"/>
  <c r="Q21" i="23"/>
  <c r="Q21" i="24" s="1"/>
  <c r="Q21" i="36" s="1"/>
  <c r="Q22" i="23"/>
  <c r="Q22" i="24" s="1"/>
  <c r="Q22" i="36" s="1"/>
  <c r="Q23" i="23"/>
  <c r="Q24" i="23"/>
  <c r="Q24" i="24" s="1"/>
  <c r="Q24" i="36" s="1"/>
  <c r="Q25" i="23"/>
  <c r="Q25" i="24" s="1"/>
  <c r="Q25" i="36" s="1"/>
  <c r="Q26" i="23"/>
  <c r="Q26" i="24" s="1"/>
  <c r="Q26" i="36" s="1"/>
  <c r="Q27" i="23"/>
  <c r="Q27" i="24" s="1"/>
  <c r="Q27" i="36" s="1"/>
  <c r="Q28" i="23"/>
  <c r="Q28" i="24" s="1"/>
  <c r="Q28" i="36" s="1"/>
  <c r="Q29" i="23"/>
  <c r="Q29" i="24" s="1"/>
  <c r="Q29" i="36" s="1"/>
  <c r="Q30" i="23"/>
  <c r="Q31" i="23"/>
  <c r="Q32" i="23"/>
  <c r="Q7" i="23"/>
  <c r="O16" i="26"/>
  <c r="Q34" i="18"/>
  <c r="AJ35" i="19" s="1"/>
  <c r="N38" i="18"/>
  <c r="Q9" i="18"/>
  <c r="AJ10" i="19" s="1"/>
  <c r="Q7" i="18"/>
  <c r="AJ8" i="19" s="1"/>
  <c r="F50" i="37"/>
  <c r="H49" i="37"/>
  <c r="N47" i="37"/>
  <c r="R46" i="37"/>
  <c r="M46" i="37"/>
  <c r="K43" i="37"/>
  <c r="K35" i="37"/>
  <c r="J35" i="37"/>
  <c r="I35" i="37"/>
  <c r="S30" i="37" s="1"/>
  <c r="H35" i="37"/>
  <c r="G35" i="37"/>
  <c r="F35" i="37"/>
  <c r="N33" i="37"/>
  <c r="M33" i="37"/>
  <c r="A33" i="37"/>
  <c r="N32" i="37"/>
  <c r="M32" i="37"/>
  <c r="N31" i="37"/>
  <c r="M31" i="37"/>
  <c r="A31" i="37"/>
  <c r="N30" i="37"/>
  <c r="M30" i="37"/>
  <c r="N29" i="37"/>
  <c r="M29" i="37"/>
  <c r="N28" i="37"/>
  <c r="M28" i="37"/>
  <c r="N27" i="37"/>
  <c r="M27" i="37"/>
  <c r="A27" i="37"/>
  <c r="N26" i="37"/>
  <c r="M26" i="37"/>
  <c r="N25" i="37"/>
  <c r="M25" i="37"/>
  <c r="N24" i="37"/>
  <c r="M24" i="37"/>
  <c r="N23" i="37"/>
  <c r="M23" i="37"/>
  <c r="N22" i="37"/>
  <c r="M22" i="37"/>
  <c r="N21" i="37"/>
  <c r="M21" i="37"/>
  <c r="A21" i="37"/>
  <c r="N20" i="37"/>
  <c r="M20" i="37"/>
  <c r="N19" i="37"/>
  <c r="M19" i="37"/>
  <c r="S18" i="37"/>
  <c r="X32" i="37" s="1"/>
  <c r="N18" i="37"/>
  <c r="M18" i="37"/>
  <c r="N17" i="37"/>
  <c r="M17" i="37"/>
  <c r="N16" i="37"/>
  <c r="M16" i="37"/>
  <c r="N15" i="37"/>
  <c r="M15" i="37"/>
  <c r="N14" i="37"/>
  <c r="M14" i="37"/>
  <c r="N13" i="37"/>
  <c r="M13" i="37"/>
  <c r="N12" i="37"/>
  <c r="M12" i="37"/>
  <c r="N11" i="37"/>
  <c r="M11" i="37"/>
  <c r="N10" i="37"/>
  <c r="M10" i="37"/>
  <c r="N9" i="37"/>
  <c r="M9" i="37"/>
  <c r="N8" i="37"/>
  <c r="M8" i="37"/>
  <c r="A8" i="37"/>
  <c r="A40" i="37" s="1"/>
  <c r="A37" i="37" s="1"/>
  <c r="A38" i="37" s="1"/>
  <c r="M38" i="18"/>
  <c r="C27" i="18"/>
  <c r="Q18" i="18"/>
  <c r="AJ19" i="19" s="1"/>
  <c r="O17" i="27"/>
  <c r="O24" i="27"/>
  <c r="O27" i="27"/>
  <c r="O32" i="27"/>
  <c r="W8" i="27"/>
  <c r="W9" i="27"/>
  <c r="W10" i="27"/>
  <c r="W11" i="27"/>
  <c r="W12" i="27"/>
  <c r="W13" i="27"/>
  <c r="W14" i="27"/>
  <c r="W15" i="27"/>
  <c r="W16" i="27"/>
  <c r="W17" i="27"/>
  <c r="W18" i="27"/>
  <c r="W19" i="27"/>
  <c r="W20" i="27"/>
  <c r="W21" i="27"/>
  <c r="W22" i="27"/>
  <c r="W23" i="27"/>
  <c r="W24" i="27"/>
  <c r="W25" i="27"/>
  <c r="W26" i="27"/>
  <c r="W27" i="27"/>
  <c r="W28" i="27"/>
  <c r="W29" i="27"/>
  <c r="W30" i="27"/>
  <c r="W31" i="27"/>
  <c r="W32" i="27"/>
  <c r="W7" i="2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7" i="17"/>
  <c r="O8" i="16"/>
  <c r="O9" i="16"/>
  <c r="O10" i="16"/>
  <c r="O11" i="16"/>
  <c r="O12" i="16"/>
  <c r="O12" i="27" s="1"/>
  <c r="O13" i="16"/>
  <c r="O14" i="16"/>
  <c r="O15" i="16"/>
  <c r="O16" i="16"/>
  <c r="O17" i="16"/>
  <c r="O18" i="16"/>
  <c r="O19" i="16"/>
  <c r="O19" i="27" s="1"/>
  <c r="O20" i="16"/>
  <c r="O20" i="27" s="1"/>
  <c r="O21" i="16"/>
  <c r="O21" i="27" s="1"/>
  <c r="O22" i="16"/>
  <c r="O22" i="27" s="1"/>
  <c r="O23" i="16"/>
  <c r="O23" i="27" s="1"/>
  <c r="O24" i="16"/>
  <c r="O25" i="16"/>
  <c r="O25" i="27" s="1"/>
  <c r="O26" i="16"/>
  <c r="O26" i="27" s="1"/>
  <c r="O27" i="16"/>
  <c r="O28" i="16"/>
  <c r="O29" i="16"/>
  <c r="O29" i="27" s="1"/>
  <c r="O30" i="16"/>
  <c r="O30" i="27" s="1"/>
  <c r="O31" i="16"/>
  <c r="O32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7" i="16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7" i="15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7" i="23"/>
  <c r="H49" i="35"/>
  <c r="M46" i="35"/>
  <c r="S18" i="35"/>
  <c r="N47" i="35"/>
  <c r="F50" i="35"/>
  <c r="R46" i="35"/>
  <c r="K43" i="35"/>
  <c r="K35" i="35"/>
  <c r="J35" i="35"/>
  <c r="I35" i="35"/>
  <c r="S30" i="35" s="1"/>
  <c r="H35" i="35"/>
  <c r="S24" i="35" s="1"/>
  <c r="G35" i="35"/>
  <c r="F35" i="35"/>
  <c r="N33" i="35"/>
  <c r="M33" i="35"/>
  <c r="A33" i="35"/>
  <c r="N32" i="35"/>
  <c r="M32" i="35"/>
  <c r="N31" i="35"/>
  <c r="M31" i="35"/>
  <c r="A31" i="35"/>
  <c r="N30" i="35"/>
  <c r="M30" i="35"/>
  <c r="N29" i="35"/>
  <c r="M29" i="35"/>
  <c r="N28" i="35"/>
  <c r="M28" i="35"/>
  <c r="N27" i="35"/>
  <c r="M27" i="35"/>
  <c r="A27" i="35"/>
  <c r="N26" i="35"/>
  <c r="M26" i="35"/>
  <c r="N25" i="35"/>
  <c r="M25" i="35"/>
  <c r="N24" i="35"/>
  <c r="M24" i="35"/>
  <c r="N23" i="35"/>
  <c r="M23" i="35"/>
  <c r="N22" i="35"/>
  <c r="M22" i="35"/>
  <c r="N21" i="35"/>
  <c r="M21" i="35"/>
  <c r="A21" i="35"/>
  <c r="N20" i="35"/>
  <c r="M20" i="35"/>
  <c r="N19" i="35"/>
  <c r="M19" i="35"/>
  <c r="N18" i="35"/>
  <c r="M18" i="35"/>
  <c r="N17" i="35"/>
  <c r="M17" i="35"/>
  <c r="N16" i="35"/>
  <c r="M16" i="35"/>
  <c r="N15" i="35"/>
  <c r="M15" i="35"/>
  <c r="N14" i="35"/>
  <c r="M14" i="35"/>
  <c r="N13" i="35"/>
  <c r="M13" i="35"/>
  <c r="N12" i="35"/>
  <c r="M12" i="35"/>
  <c r="N11" i="35"/>
  <c r="M11" i="35"/>
  <c r="N10" i="35"/>
  <c r="M10" i="35"/>
  <c r="N9" i="35"/>
  <c r="M9" i="35"/>
  <c r="N8" i="35"/>
  <c r="M8" i="35"/>
  <c r="A8" i="35"/>
  <c r="I35" i="33"/>
  <c r="H35" i="33"/>
  <c r="L38" i="18"/>
  <c r="S20" i="33"/>
  <c r="O19" i="24"/>
  <c r="O19" i="36" s="1"/>
  <c r="O7" i="24"/>
  <c r="O7" i="36" s="1"/>
  <c r="O8" i="17"/>
  <c r="O8" i="27" s="1"/>
  <c r="O9" i="17"/>
  <c r="O9" i="27" s="1"/>
  <c r="O10" i="17"/>
  <c r="O10" i="27" s="1"/>
  <c r="O11" i="17"/>
  <c r="O11" i="27" s="1"/>
  <c r="O12" i="17"/>
  <c r="O13" i="17"/>
  <c r="O13" i="27" s="1"/>
  <c r="O14" i="17"/>
  <c r="O14" i="27" s="1"/>
  <c r="O15" i="17"/>
  <c r="O15" i="27" s="1"/>
  <c r="O16" i="17"/>
  <c r="O16" i="27" s="1"/>
  <c r="O17" i="17"/>
  <c r="O18" i="17"/>
  <c r="O18" i="27" s="1"/>
  <c r="O19" i="17"/>
  <c r="O20" i="17"/>
  <c r="O21" i="17"/>
  <c r="O22" i="17"/>
  <c r="O23" i="17"/>
  <c r="O24" i="17"/>
  <c r="O25" i="17"/>
  <c r="O26" i="17"/>
  <c r="O27" i="17"/>
  <c r="O28" i="17"/>
  <c r="O28" i="27" s="1"/>
  <c r="O29" i="17"/>
  <c r="O30" i="17"/>
  <c r="O31" i="17"/>
  <c r="O31" i="27" s="1"/>
  <c r="O32" i="17"/>
  <c r="O7" i="17"/>
  <c r="O7" i="16"/>
  <c r="O7" i="27" s="1"/>
  <c r="O8" i="15"/>
  <c r="O8" i="24" s="1"/>
  <c r="O8" i="36" s="1"/>
  <c r="O9" i="15"/>
  <c r="O9" i="24" s="1"/>
  <c r="O9" i="36" s="1"/>
  <c r="O10" i="15"/>
  <c r="O10" i="24" s="1"/>
  <c r="O10" i="36" s="1"/>
  <c r="O11" i="15"/>
  <c r="O11" i="24" s="1"/>
  <c r="O11" i="36" s="1"/>
  <c r="O12" i="15"/>
  <c r="O13" i="15"/>
  <c r="O14" i="15"/>
  <c r="O14" i="24" s="1"/>
  <c r="O14" i="36" s="1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8" i="24" s="1"/>
  <c r="O28" i="36" s="1"/>
  <c r="O29" i="15"/>
  <c r="O29" i="24" s="1"/>
  <c r="O29" i="36" s="1"/>
  <c r="O30" i="15"/>
  <c r="O31" i="15"/>
  <c r="O31" i="24" s="1"/>
  <c r="O31" i="36" s="1"/>
  <c r="O32" i="15"/>
  <c r="O7" i="15"/>
  <c r="O8" i="23"/>
  <c r="O9" i="23"/>
  <c r="O10" i="23"/>
  <c r="O11" i="23"/>
  <c r="O12" i="23"/>
  <c r="O13" i="23"/>
  <c r="O13" i="24" s="1"/>
  <c r="O13" i="36" s="1"/>
  <c r="O14" i="23"/>
  <c r="O15" i="23"/>
  <c r="O16" i="23"/>
  <c r="O17" i="23"/>
  <c r="O17" i="24" s="1"/>
  <c r="O17" i="36" s="1"/>
  <c r="O18" i="23"/>
  <c r="O18" i="24" s="1"/>
  <c r="O18" i="36" s="1"/>
  <c r="O19" i="23"/>
  <c r="O20" i="23"/>
  <c r="O21" i="23"/>
  <c r="O22" i="23"/>
  <c r="O22" i="24" s="1"/>
  <c r="O22" i="36" s="1"/>
  <c r="O23" i="23"/>
  <c r="O23" i="24" s="1"/>
  <c r="O23" i="36" s="1"/>
  <c r="O24" i="23"/>
  <c r="O24" i="24" s="1"/>
  <c r="O24" i="36" s="1"/>
  <c r="O25" i="23"/>
  <c r="O25" i="24" s="1"/>
  <c r="O25" i="36" s="1"/>
  <c r="O26" i="23"/>
  <c r="O27" i="23"/>
  <c r="O28" i="23"/>
  <c r="O29" i="23"/>
  <c r="O30" i="23"/>
  <c r="O31" i="23"/>
  <c r="O32" i="23"/>
  <c r="O7" i="23"/>
  <c r="N47" i="34"/>
  <c r="F47" i="34"/>
  <c r="R46" i="34"/>
  <c r="K40" i="34"/>
  <c r="K35" i="34"/>
  <c r="J35" i="34"/>
  <c r="I35" i="34"/>
  <c r="S30" i="34" s="1"/>
  <c r="H35" i="34"/>
  <c r="S24" i="34" s="1"/>
  <c r="G35" i="34"/>
  <c r="F35" i="34"/>
  <c r="N33" i="34"/>
  <c r="M33" i="34"/>
  <c r="A33" i="34"/>
  <c r="N32" i="34"/>
  <c r="M32" i="34"/>
  <c r="N31" i="34"/>
  <c r="M31" i="34"/>
  <c r="A31" i="34"/>
  <c r="N30" i="34"/>
  <c r="M30" i="34"/>
  <c r="N29" i="34"/>
  <c r="M29" i="34"/>
  <c r="N28" i="34"/>
  <c r="M28" i="34"/>
  <c r="N27" i="34"/>
  <c r="M27" i="34"/>
  <c r="A27" i="34"/>
  <c r="N26" i="34"/>
  <c r="M26" i="34"/>
  <c r="N25" i="34"/>
  <c r="M25" i="34"/>
  <c r="N24" i="34"/>
  <c r="M24" i="34"/>
  <c r="N23" i="34"/>
  <c r="M23" i="34"/>
  <c r="N22" i="34"/>
  <c r="M22" i="34"/>
  <c r="N21" i="34"/>
  <c r="M21" i="34"/>
  <c r="A21" i="34"/>
  <c r="N20" i="34"/>
  <c r="M20" i="34"/>
  <c r="N19" i="34"/>
  <c r="M19" i="34"/>
  <c r="S18" i="34"/>
  <c r="N18" i="34"/>
  <c r="M18" i="34"/>
  <c r="N17" i="34"/>
  <c r="M17" i="34"/>
  <c r="N16" i="34"/>
  <c r="M16" i="34"/>
  <c r="N15" i="34"/>
  <c r="M15" i="34"/>
  <c r="N14" i="34"/>
  <c r="M14" i="34"/>
  <c r="N13" i="34"/>
  <c r="M13" i="34"/>
  <c r="N12" i="34"/>
  <c r="M12" i="34"/>
  <c r="N11" i="34"/>
  <c r="M11" i="34"/>
  <c r="N10" i="34"/>
  <c r="M10" i="34"/>
  <c r="N9" i="34"/>
  <c r="M9" i="34"/>
  <c r="N8" i="34"/>
  <c r="M8" i="34"/>
  <c r="A8" i="34"/>
  <c r="I39" i="34" s="1"/>
  <c r="I40" i="34" s="1"/>
  <c r="N8" i="27"/>
  <c r="M9" i="27"/>
  <c r="M10" i="27"/>
  <c r="M11" i="27"/>
  <c r="M30" i="27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7" i="16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4" i="27" s="1"/>
  <c r="M25" i="17"/>
  <c r="M25" i="27" s="1"/>
  <c r="M26" i="17"/>
  <c r="M27" i="17"/>
  <c r="M28" i="17"/>
  <c r="M29" i="17"/>
  <c r="M30" i="17"/>
  <c r="M31" i="17"/>
  <c r="M32" i="17"/>
  <c r="M7" i="17"/>
  <c r="M8" i="16"/>
  <c r="M8" i="27" s="1"/>
  <c r="M9" i="16"/>
  <c r="M10" i="16"/>
  <c r="M11" i="16"/>
  <c r="M12" i="16"/>
  <c r="M12" i="27" s="1"/>
  <c r="M13" i="16"/>
  <c r="M13" i="27" s="1"/>
  <c r="M14" i="16"/>
  <c r="M14" i="27" s="1"/>
  <c r="M15" i="16"/>
  <c r="M15" i="27" s="1"/>
  <c r="M16" i="16"/>
  <c r="M16" i="27" s="1"/>
  <c r="M17" i="16"/>
  <c r="M17" i="27" s="1"/>
  <c r="M18" i="16"/>
  <c r="M18" i="27" s="1"/>
  <c r="M19" i="16"/>
  <c r="M19" i="27" s="1"/>
  <c r="M20" i="16"/>
  <c r="M20" i="27" s="1"/>
  <c r="M21" i="16"/>
  <c r="M22" i="16"/>
  <c r="M23" i="16"/>
  <c r="M23" i="27" s="1"/>
  <c r="M24" i="16"/>
  <c r="M25" i="16"/>
  <c r="M26" i="16"/>
  <c r="M26" i="27" s="1"/>
  <c r="M27" i="16"/>
  <c r="M27" i="27" s="1"/>
  <c r="M28" i="16"/>
  <c r="M28" i="27" s="1"/>
  <c r="M29" i="16"/>
  <c r="M29" i="27" s="1"/>
  <c r="M30" i="16"/>
  <c r="M31" i="16"/>
  <c r="M31" i="27" s="1"/>
  <c r="M32" i="16"/>
  <c r="M32" i="27" s="1"/>
  <c r="M7" i="16"/>
  <c r="M7" i="27" s="1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7" i="15"/>
  <c r="N7" i="24" s="1"/>
  <c r="N7" i="36" s="1"/>
  <c r="N8" i="23"/>
  <c r="N9" i="23"/>
  <c r="N10" i="23"/>
  <c r="N11" i="23"/>
  <c r="N12" i="23"/>
  <c r="N13" i="23"/>
  <c r="N14" i="23"/>
  <c r="N15" i="23"/>
  <c r="N16" i="23"/>
  <c r="N17" i="23"/>
  <c r="N18" i="23"/>
  <c r="N19" i="23"/>
  <c r="N19" i="24" s="1"/>
  <c r="N19" i="36" s="1"/>
  <c r="N20" i="23"/>
  <c r="N21" i="23"/>
  <c r="N21" i="24" s="1"/>
  <c r="N21" i="36" s="1"/>
  <c r="N22" i="23"/>
  <c r="N22" i="24" s="1"/>
  <c r="N22" i="36" s="1"/>
  <c r="N23" i="23"/>
  <c r="N24" i="23"/>
  <c r="N25" i="23"/>
  <c r="N26" i="23"/>
  <c r="N27" i="23"/>
  <c r="N28" i="23"/>
  <c r="N29" i="23"/>
  <c r="N30" i="23"/>
  <c r="N31" i="23"/>
  <c r="N32" i="23"/>
  <c r="N7" i="23"/>
  <c r="K38" i="18"/>
  <c r="N47" i="33"/>
  <c r="F47" i="33"/>
  <c r="R48" i="33"/>
  <c r="K40" i="33"/>
  <c r="K35" i="33"/>
  <c r="J35" i="33"/>
  <c r="G35" i="33"/>
  <c r="F35" i="33"/>
  <c r="N33" i="33"/>
  <c r="M33" i="33"/>
  <c r="A33" i="33"/>
  <c r="N32" i="33"/>
  <c r="M32" i="33"/>
  <c r="N31" i="33"/>
  <c r="M31" i="33"/>
  <c r="A31" i="33"/>
  <c r="N30" i="33"/>
  <c r="M30" i="33"/>
  <c r="N29" i="33"/>
  <c r="M29" i="33"/>
  <c r="N28" i="33"/>
  <c r="M28" i="33"/>
  <c r="N27" i="33"/>
  <c r="M27" i="33"/>
  <c r="A27" i="33"/>
  <c r="N26" i="33"/>
  <c r="M26" i="33"/>
  <c r="N25" i="33"/>
  <c r="M25" i="33"/>
  <c r="N24" i="33"/>
  <c r="M24" i="33"/>
  <c r="N23" i="33"/>
  <c r="M23" i="33"/>
  <c r="N22" i="33"/>
  <c r="M22" i="33"/>
  <c r="N21" i="33"/>
  <c r="M21" i="33"/>
  <c r="A21" i="33"/>
  <c r="N20" i="33"/>
  <c r="M20" i="33"/>
  <c r="N19" i="33"/>
  <c r="M19" i="33"/>
  <c r="N18" i="33"/>
  <c r="M18" i="33"/>
  <c r="N17" i="33"/>
  <c r="M17" i="33"/>
  <c r="N16" i="33"/>
  <c r="M16" i="33"/>
  <c r="N15" i="33"/>
  <c r="M15" i="33"/>
  <c r="N14" i="33"/>
  <c r="M14" i="33"/>
  <c r="N13" i="33"/>
  <c r="M13" i="33"/>
  <c r="N12" i="33"/>
  <c r="M12" i="33"/>
  <c r="N11" i="33"/>
  <c r="M11" i="33"/>
  <c r="N10" i="33"/>
  <c r="M10" i="33"/>
  <c r="N9" i="33"/>
  <c r="M9" i="33"/>
  <c r="N8" i="33"/>
  <c r="M8" i="33"/>
  <c r="A8" i="33"/>
  <c r="F47" i="32"/>
  <c r="M8" i="23"/>
  <c r="M9" i="23"/>
  <c r="M10" i="23"/>
  <c r="M11" i="23"/>
  <c r="M12" i="23"/>
  <c r="M13" i="23"/>
  <c r="M14" i="23"/>
  <c r="M15" i="23"/>
  <c r="M16" i="23"/>
  <c r="M17" i="23"/>
  <c r="M18" i="23"/>
  <c r="M18" i="24" s="1"/>
  <c r="M18" i="36" s="1"/>
  <c r="M19" i="23"/>
  <c r="M19" i="24" s="1"/>
  <c r="M19" i="36" s="1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7" i="23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0" i="24" s="1"/>
  <c r="M20" i="36" s="1"/>
  <c r="M21" i="15"/>
  <c r="M21" i="24" s="1"/>
  <c r="M21" i="36" s="1"/>
  <c r="M22" i="15"/>
  <c r="M22" i="24" s="1"/>
  <c r="M22" i="36" s="1"/>
  <c r="M23" i="15"/>
  <c r="M24" i="15"/>
  <c r="M25" i="15"/>
  <c r="M26" i="15"/>
  <c r="M27" i="15"/>
  <c r="M28" i="15"/>
  <c r="M29" i="15"/>
  <c r="M30" i="15"/>
  <c r="M31" i="15"/>
  <c r="M32" i="15"/>
  <c r="M7" i="15"/>
  <c r="L28" i="15"/>
  <c r="I35" i="31"/>
  <c r="S30" i="31" s="1"/>
  <c r="J38" i="18"/>
  <c r="M31" i="31"/>
  <c r="N47" i="32"/>
  <c r="R46" i="32"/>
  <c r="K40" i="32"/>
  <c r="K35" i="32"/>
  <c r="J35" i="32"/>
  <c r="I35" i="32"/>
  <c r="S30" i="32" s="1"/>
  <c r="H35" i="32"/>
  <c r="S24" i="32" s="1"/>
  <c r="G35" i="32"/>
  <c r="F35" i="32"/>
  <c r="N33" i="32"/>
  <c r="M33" i="32"/>
  <c r="A33" i="32"/>
  <c r="N32" i="32"/>
  <c r="M32" i="32"/>
  <c r="N31" i="32"/>
  <c r="M31" i="32"/>
  <c r="A31" i="32"/>
  <c r="N30" i="32"/>
  <c r="M30" i="32"/>
  <c r="N29" i="32"/>
  <c r="M29" i="32"/>
  <c r="N28" i="32"/>
  <c r="M28" i="32"/>
  <c r="N27" i="32"/>
  <c r="M27" i="32"/>
  <c r="A27" i="32"/>
  <c r="N26" i="32"/>
  <c r="M26" i="32"/>
  <c r="N25" i="32"/>
  <c r="M25" i="32"/>
  <c r="N24" i="32"/>
  <c r="M24" i="32"/>
  <c r="N23" i="32"/>
  <c r="M23" i="32"/>
  <c r="N22" i="32"/>
  <c r="M22" i="32"/>
  <c r="N21" i="32"/>
  <c r="M21" i="32"/>
  <c r="A21" i="32"/>
  <c r="N20" i="32"/>
  <c r="M20" i="32"/>
  <c r="N19" i="32"/>
  <c r="M19" i="32"/>
  <c r="S18" i="32"/>
  <c r="X32" i="32" s="1"/>
  <c r="N18" i="32"/>
  <c r="M18" i="32"/>
  <c r="N17" i="32"/>
  <c r="M17" i="32"/>
  <c r="N16" i="32"/>
  <c r="M16" i="32"/>
  <c r="R15" i="32"/>
  <c r="N15" i="32"/>
  <c r="M15" i="32"/>
  <c r="N14" i="32"/>
  <c r="M14" i="32"/>
  <c r="N13" i="32"/>
  <c r="M13" i="32"/>
  <c r="N12" i="32"/>
  <c r="M12" i="32"/>
  <c r="N11" i="32"/>
  <c r="M11" i="32"/>
  <c r="N10" i="32"/>
  <c r="M10" i="32"/>
  <c r="N9" i="32"/>
  <c r="M9" i="32"/>
  <c r="N8" i="32"/>
  <c r="M8" i="32"/>
  <c r="A8" i="32"/>
  <c r="P27" i="26"/>
  <c r="P3" i="28" s="1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9" i="17"/>
  <c r="L30" i="17"/>
  <c r="L31" i="17"/>
  <c r="L32" i="17"/>
  <c r="L7" i="17"/>
  <c r="L8" i="16"/>
  <c r="L9" i="16"/>
  <c r="L10" i="16"/>
  <c r="L11" i="16"/>
  <c r="L12" i="16"/>
  <c r="L13" i="16"/>
  <c r="L14" i="16"/>
  <c r="L15" i="16"/>
  <c r="L15" i="27" s="1"/>
  <c r="L16" i="16"/>
  <c r="L16" i="27" s="1"/>
  <c r="L17" i="16"/>
  <c r="L17" i="27" s="1"/>
  <c r="L18" i="16"/>
  <c r="L19" i="16"/>
  <c r="L20" i="16"/>
  <c r="L20" i="27" s="1"/>
  <c r="L21" i="16"/>
  <c r="L21" i="27" s="1"/>
  <c r="L22" i="16"/>
  <c r="L22" i="27" s="1"/>
  <c r="L23" i="16"/>
  <c r="L23" i="27" s="1"/>
  <c r="L24" i="16"/>
  <c r="L25" i="16"/>
  <c r="L26" i="16"/>
  <c r="L27" i="16"/>
  <c r="L28" i="16"/>
  <c r="L29" i="16"/>
  <c r="L30" i="16"/>
  <c r="L31" i="16"/>
  <c r="L32" i="16"/>
  <c r="L7" i="16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9" i="15"/>
  <c r="L30" i="15"/>
  <c r="L31" i="15"/>
  <c r="L32" i="15"/>
  <c r="L7" i="15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0" i="24" s="1"/>
  <c r="L20" i="36" s="1"/>
  <c r="L21" i="23"/>
  <c r="L21" i="24" s="1"/>
  <c r="L21" i="36" s="1"/>
  <c r="L22" i="23"/>
  <c r="L23" i="23"/>
  <c r="L24" i="23"/>
  <c r="L25" i="23"/>
  <c r="L26" i="23"/>
  <c r="L27" i="23"/>
  <c r="L29" i="23"/>
  <c r="L30" i="23"/>
  <c r="L31" i="23"/>
  <c r="L31" i="24" s="1"/>
  <c r="L31" i="36" s="1"/>
  <c r="L32" i="23"/>
  <c r="L32" i="24" s="1"/>
  <c r="L32" i="36" s="1"/>
  <c r="L7" i="23"/>
  <c r="N47" i="31"/>
  <c r="R46" i="31"/>
  <c r="K40" i="31"/>
  <c r="K35" i="31"/>
  <c r="J35" i="31"/>
  <c r="H35" i="31"/>
  <c r="S24" i="31" s="1"/>
  <c r="G35" i="31"/>
  <c r="F35" i="31"/>
  <c r="N33" i="31"/>
  <c r="M33" i="31"/>
  <c r="A33" i="31"/>
  <c r="N32" i="31"/>
  <c r="M32" i="31"/>
  <c r="N31" i="31"/>
  <c r="A31" i="31"/>
  <c r="N30" i="31"/>
  <c r="M30" i="31"/>
  <c r="M29" i="31"/>
  <c r="N28" i="31"/>
  <c r="M28" i="31"/>
  <c r="N27" i="31"/>
  <c r="M27" i="31"/>
  <c r="A27" i="31"/>
  <c r="N26" i="31"/>
  <c r="M26" i="31"/>
  <c r="N25" i="31"/>
  <c r="M25" i="31"/>
  <c r="N24" i="31"/>
  <c r="M24" i="31"/>
  <c r="N23" i="31"/>
  <c r="M23" i="31"/>
  <c r="N22" i="31"/>
  <c r="M22" i="31"/>
  <c r="N21" i="31"/>
  <c r="M21" i="31"/>
  <c r="A21" i="31"/>
  <c r="N20" i="31"/>
  <c r="M20" i="31"/>
  <c r="N19" i="31"/>
  <c r="M19" i="31"/>
  <c r="S18" i="31"/>
  <c r="X32" i="31" s="1"/>
  <c r="N18" i="31"/>
  <c r="M18" i="31"/>
  <c r="N17" i="31"/>
  <c r="M17" i="31"/>
  <c r="N16" i="31"/>
  <c r="M16" i="31"/>
  <c r="N15" i="31"/>
  <c r="M15" i="31"/>
  <c r="N14" i="31"/>
  <c r="M14" i="31"/>
  <c r="N13" i="31"/>
  <c r="M13" i="31"/>
  <c r="N12" i="31"/>
  <c r="M12" i="31"/>
  <c r="N11" i="31"/>
  <c r="M11" i="31"/>
  <c r="N10" i="31"/>
  <c r="M10" i="31"/>
  <c r="N9" i="31"/>
  <c r="M9" i="31"/>
  <c r="N8" i="31"/>
  <c r="M8" i="31"/>
  <c r="A8" i="31"/>
  <c r="N46" i="30"/>
  <c r="A21" i="30"/>
  <c r="A27" i="30"/>
  <c r="A33" i="30"/>
  <c r="A31" i="30"/>
  <c r="A8" i="30"/>
  <c r="R15" i="30"/>
  <c r="I38" i="18"/>
  <c r="I39" i="29"/>
  <c r="I40" i="29" s="1"/>
  <c r="J41" i="29" s="1"/>
  <c r="B34" i="29"/>
  <c r="K40" i="22"/>
  <c r="K41" i="22" s="1"/>
  <c r="AA36" i="29"/>
  <c r="A35" i="29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7" i="17"/>
  <c r="K8" i="16"/>
  <c r="K9" i="16"/>
  <c r="K10" i="16"/>
  <c r="K11" i="16"/>
  <c r="K12" i="16"/>
  <c r="K13" i="16"/>
  <c r="K13" i="27" s="1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7" i="16"/>
  <c r="K7" i="27" s="1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7" i="15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1" i="24" s="1"/>
  <c r="K21" i="36" s="1"/>
  <c r="K22" i="23"/>
  <c r="K22" i="24" s="1"/>
  <c r="K22" i="36" s="1"/>
  <c r="K23" i="23"/>
  <c r="K24" i="23"/>
  <c r="K25" i="23"/>
  <c r="K26" i="23"/>
  <c r="K27" i="23"/>
  <c r="K28" i="23"/>
  <c r="K29" i="23"/>
  <c r="K30" i="23"/>
  <c r="K31" i="23"/>
  <c r="K32" i="23"/>
  <c r="K7" i="23"/>
  <c r="H38" i="18"/>
  <c r="R45" i="30"/>
  <c r="K40" i="30"/>
  <c r="K35" i="30"/>
  <c r="J35" i="30"/>
  <c r="I35" i="30"/>
  <c r="H35" i="30"/>
  <c r="S24" i="30" s="1"/>
  <c r="S26" i="30" s="1"/>
  <c r="G35" i="30"/>
  <c r="F35" i="30"/>
  <c r="N33" i="30"/>
  <c r="M33" i="30"/>
  <c r="N32" i="30"/>
  <c r="M32" i="30"/>
  <c r="N31" i="30"/>
  <c r="M31" i="30"/>
  <c r="N30" i="30"/>
  <c r="M30" i="30"/>
  <c r="N29" i="30"/>
  <c r="M29" i="30"/>
  <c r="N28" i="30"/>
  <c r="M28" i="30"/>
  <c r="N27" i="30"/>
  <c r="M27" i="30"/>
  <c r="N26" i="30"/>
  <c r="M26" i="30"/>
  <c r="N25" i="30"/>
  <c r="M25" i="30"/>
  <c r="N24" i="30"/>
  <c r="M24" i="30"/>
  <c r="N23" i="30"/>
  <c r="M23" i="30"/>
  <c r="N22" i="30"/>
  <c r="M22" i="30"/>
  <c r="N21" i="30"/>
  <c r="M21" i="30"/>
  <c r="N20" i="30"/>
  <c r="M20" i="30"/>
  <c r="N19" i="30"/>
  <c r="M19" i="30"/>
  <c r="S18" i="30"/>
  <c r="S25" i="30" s="1"/>
  <c r="N18" i="30"/>
  <c r="M18" i="30"/>
  <c r="N17" i="30"/>
  <c r="M17" i="30"/>
  <c r="N16" i="30"/>
  <c r="M16" i="30"/>
  <c r="N15" i="30"/>
  <c r="M15" i="30"/>
  <c r="N14" i="30"/>
  <c r="M14" i="30"/>
  <c r="N13" i="30"/>
  <c r="M13" i="30"/>
  <c r="N12" i="30"/>
  <c r="M12" i="30"/>
  <c r="N11" i="30"/>
  <c r="M11" i="30"/>
  <c r="N10" i="30"/>
  <c r="M10" i="30"/>
  <c r="N9" i="30"/>
  <c r="M9" i="30"/>
  <c r="N8" i="30"/>
  <c r="M8" i="30"/>
  <c r="K40" i="29"/>
  <c r="B8" i="22"/>
  <c r="A36" i="22"/>
  <c r="A40" i="29"/>
  <c r="D39" i="29" s="1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7" i="17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7" i="16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7" i="23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7" i="15"/>
  <c r="R45" i="29"/>
  <c r="K35" i="29"/>
  <c r="J35" i="29"/>
  <c r="I35" i="29"/>
  <c r="H35" i="29"/>
  <c r="S24" i="29" s="1"/>
  <c r="G35" i="29"/>
  <c r="F35" i="29"/>
  <c r="N33" i="29"/>
  <c r="M33" i="29"/>
  <c r="N32" i="29"/>
  <c r="M32" i="29"/>
  <c r="N31" i="29"/>
  <c r="M31" i="29"/>
  <c r="N30" i="29"/>
  <c r="M30" i="29"/>
  <c r="N29" i="29"/>
  <c r="M29" i="29"/>
  <c r="N28" i="29"/>
  <c r="M28" i="29"/>
  <c r="N27" i="29"/>
  <c r="M27" i="29"/>
  <c r="N26" i="29"/>
  <c r="M26" i="29"/>
  <c r="N25" i="29"/>
  <c r="M25" i="29"/>
  <c r="N24" i="29"/>
  <c r="M24" i="29"/>
  <c r="N23" i="29"/>
  <c r="M23" i="29"/>
  <c r="N22" i="29"/>
  <c r="M22" i="29"/>
  <c r="N21" i="29"/>
  <c r="M21" i="29"/>
  <c r="N20" i="29"/>
  <c r="M20" i="29"/>
  <c r="N19" i="29"/>
  <c r="M19" i="29"/>
  <c r="N18" i="29"/>
  <c r="M18" i="29"/>
  <c r="N17" i="29"/>
  <c r="M17" i="29"/>
  <c r="N16" i="29"/>
  <c r="M16" i="29"/>
  <c r="N15" i="29"/>
  <c r="M15" i="29"/>
  <c r="N14" i="29"/>
  <c r="M14" i="29"/>
  <c r="N13" i="29"/>
  <c r="M13" i="29"/>
  <c r="N12" i="29"/>
  <c r="M12" i="29"/>
  <c r="N11" i="29"/>
  <c r="M11" i="29"/>
  <c r="N10" i="29"/>
  <c r="M10" i="29"/>
  <c r="S18" i="29"/>
  <c r="S25" i="29" s="1"/>
  <c r="N9" i="29"/>
  <c r="M9" i="29"/>
  <c r="N8" i="29"/>
  <c r="M8" i="29"/>
  <c r="S18" i="22"/>
  <c r="S25" i="22" s="1"/>
  <c r="S44" i="22" s="1"/>
  <c r="R25" i="1"/>
  <c r="I33" i="1"/>
  <c r="Q3" i="28"/>
  <c r="R45" i="22"/>
  <c r="G38" i="18"/>
  <c r="F38" i="18"/>
  <c r="E38" i="18"/>
  <c r="D38" i="18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2" i="27" s="1"/>
  <c r="G23" i="17"/>
  <c r="G23" i="27" s="1"/>
  <c r="G24" i="17"/>
  <c r="G24" i="27" s="1"/>
  <c r="G25" i="17"/>
  <c r="G26" i="17"/>
  <c r="G27" i="17"/>
  <c r="G28" i="17"/>
  <c r="G29" i="17"/>
  <c r="G30" i="17"/>
  <c r="G31" i="17"/>
  <c r="G32" i="17"/>
  <c r="D14" i="26"/>
  <c r="D6" i="26"/>
  <c r="Q6" i="26" s="1"/>
  <c r="R35" i="20"/>
  <c r="F8" i="23"/>
  <c r="G8" i="23"/>
  <c r="H8" i="23"/>
  <c r="I8" i="23"/>
  <c r="F9" i="23"/>
  <c r="G9" i="23"/>
  <c r="H9" i="23"/>
  <c r="H9" i="24" s="1"/>
  <c r="H9" i="36" s="1"/>
  <c r="I9" i="23"/>
  <c r="F10" i="23"/>
  <c r="G10" i="23"/>
  <c r="H10" i="23"/>
  <c r="I10" i="23"/>
  <c r="F11" i="23"/>
  <c r="G11" i="23"/>
  <c r="H11" i="23"/>
  <c r="I11" i="23"/>
  <c r="F12" i="23"/>
  <c r="G12" i="23"/>
  <c r="H12" i="23"/>
  <c r="I12" i="23"/>
  <c r="F13" i="23"/>
  <c r="G13" i="23"/>
  <c r="H13" i="23"/>
  <c r="I13" i="23"/>
  <c r="F14" i="23"/>
  <c r="G14" i="23"/>
  <c r="G14" i="24" s="1"/>
  <c r="G14" i="36" s="1"/>
  <c r="H14" i="23"/>
  <c r="I14" i="23"/>
  <c r="F15" i="23"/>
  <c r="G15" i="23"/>
  <c r="H15" i="23"/>
  <c r="I15" i="23"/>
  <c r="F16" i="23"/>
  <c r="G16" i="23"/>
  <c r="H16" i="23"/>
  <c r="I16" i="23"/>
  <c r="F17" i="23"/>
  <c r="G17" i="23"/>
  <c r="H17" i="23"/>
  <c r="I17" i="23"/>
  <c r="F18" i="23"/>
  <c r="G18" i="23"/>
  <c r="H18" i="23"/>
  <c r="I18" i="23"/>
  <c r="F19" i="23"/>
  <c r="G19" i="23"/>
  <c r="H19" i="23"/>
  <c r="I19" i="23"/>
  <c r="F20" i="23"/>
  <c r="G20" i="23"/>
  <c r="H20" i="23"/>
  <c r="I20" i="23"/>
  <c r="F21" i="23"/>
  <c r="G21" i="23"/>
  <c r="H21" i="23"/>
  <c r="I21" i="23"/>
  <c r="F22" i="23"/>
  <c r="G22" i="23"/>
  <c r="H22" i="23"/>
  <c r="I22" i="23"/>
  <c r="F23" i="23"/>
  <c r="G23" i="23"/>
  <c r="H23" i="23"/>
  <c r="I23" i="23"/>
  <c r="F24" i="23"/>
  <c r="G24" i="23"/>
  <c r="H24" i="23"/>
  <c r="H24" i="24" s="1"/>
  <c r="H24" i="36" s="1"/>
  <c r="I24" i="23"/>
  <c r="F25" i="23"/>
  <c r="G25" i="23"/>
  <c r="H25" i="23"/>
  <c r="I25" i="23"/>
  <c r="F26" i="23"/>
  <c r="G26" i="23"/>
  <c r="H26" i="23"/>
  <c r="I26" i="23"/>
  <c r="F27" i="23"/>
  <c r="G27" i="23"/>
  <c r="H27" i="23"/>
  <c r="I27" i="23"/>
  <c r="F28" i="23"/>
  <c r="G28" i="23"/>
  <c r="H28" i="23"/>
  <c r="I28" i="23"/>
  <c r="F29" i="23"/>
  <c r="G29" i="23"/>
  <c r="H29" i="23"/>
  <c r="I29" i="23"/>
  <c r="F30" i="23"/>
  <c r="G30" i="23"/>
  <c r="H30" i="23"/>
  <c r="I30" i="23"/>
  <c r="F31" i="23"/>
  <c r="G31" i="23"/>
  <c r="H31" i="23"/>
  <c r="I31" i="23"/>
  <c r="F32" i="23"/>
  <c r="G32" i="23"/>
  <c r="H32" i="23"/>
  <c r="I32" i="23"/>
  <c r="I7" i="23"/>
  <c r="H7" i="23"/>
  <c r="G7" i="23"/>
  <c r="F7" i="23"/>
  <c r="F38" i="23"/>
  <c r="G35" i="23" s="1"/>
  <c r="G8" i="15"/>
  <c r="H8" i="15"/>
  <c r="I8" i="15"/>
  <c r="G9" i="15"/>
  <c r="H9" i="15"/>
  <c r="I9" i="15"/>
  <c r="G10" i="15"/>
  <c r="H10" i="15"/>
  <c r="I10" i="15"/>
  <c r="G11" i="15"/>
  <c r="H11" i="15"/>
  <c r="I11" i="15"/>
  <c r="G12" i="15"/>
  <c r="H12" i="15"/>
  <c r="I12" i="15"/>
  <c r="G13" i="15"/>
  <c r="H13" i="15"/>
  <c r="I13" i="15"/>
  <c r="G14" i="15"/>
  <c r="H14" i="15"/>
  <c r="I14" i="15"/>
  <c r="G15" i="15"/>
  <c r="H15" i="15"/>
  <c r="I15" i="15"/>
  <c r="G16" i="15"/>
  <c r="H16" i="15"/>
  <c r="I16" i="15"/>
  <c r="G17" i="15"/>
  <c r="H17" i="15"/>
  <c r="I17" i="15"/>
  <c r="G18" i="15"/>
  <c r="H18" i="15"/>
  <c r="I18" i="15"/>
  <c r="G19" i="15"/>
  <c r="H19" i="15"/>
  <c r="I19" i="15"/>
  <c r="G20" i="15"/>
  <c r="H20" i="15"/>
  <c r="I20" i="15"/>
  <c r="G21" i="15"/>
  <c r="H21" i="15"/>
  <c r="H21" i="24" s="1"/>
  <c r="H21" i="36" s="1"/>
  <c r="I21" i="15"/>
  <c r="G22" i="15"/>
  <c r="H22" i="15"/>
  <c r="I22" i="15"/>
  <c r="G23" i="15"/>
  <c r="H23" i="15"/>
  <c r="I23" i="15"/>
  <c r="G24" i="15"/>
  <c r="H24" i="15"/>
  <c r="I24" i="15"/>
  <c r="G25" i="15"/>
  <c r="H25" i="15"/>
  <c r="I25" i="15"/>
  <c r="G26" i="15"/>
  <c r="H26" i="15"/>
  <c r="I26" i="15"/>
  <c r="G27" i="15"/>
  <c r="H27" i="15"/>
  <c r="I27" i="15"/>
  <c r="G28" i="15"/>
  <c r="H28" i="15"/>
  <c r="I28" i="15"/>
  <c r="G29" i="15"/>
  <c r="H29" i="15"/>
  <c r="I29" i="15"/>
  <c r="G30" i="15"/>
  <c r="H30" i="15"/>
  <c r="I30" i="15"/>
  <c r="G31" i="15"/>
  <c r="H31" i="15"/>
  <c r="I31" i="15"/>
  <c r="G32" i="15"/>
  <c r="H32" i="15"/>
  <c r="I32" i="15"/>
  <c r="I7" i="15"/>
  <c r="H7" i="15"/>
  <c r="G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7" i="15"/>
  <c r="I8" i="17"/>
  <c r="I9" i="17"/>
  <c r="I9" i="27" s="1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5" i="27" s="1"/>
  <c r="I26" i="17"/>
  <c r="I27" i="17"/>
  <c r="I28" i="17"/>
  <c r="I29" i="17"/>
  <c r="I30" i="17"/>
  <c r="I31" i="17"/>
  <c r="I32" i="17"/>
  <c r="I7" i="17"/>
  <c r="H8" i="17"/>
  <c r="H9" i="17"/>
  <c r="H10" i="17"/>
  <c r="H11" i="17"/>
  <c r="H12" i="17"/>
  <c r="H12" i="27" s="1"/>
  <c r="H13" i="17"/>
  <c r="H14" i="17"/>
  <c r="H15" i="17"/>
  <c r="H16" i="17"/>
  <c r="H16" i="27" s="1"/>
  <c r="H17" i="17"/>
  <c r="H18" i="17"/>
  <c r="H18" i="27" s="1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2" i="27" s="1"/>
  <c r="H7" i="17"/>
  <c r="G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7" i="17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G8" i="16"/>
  <c r="G9" i="16"/>
  <c r="G10" i="16"/>
  <c r="G11" i="16"/>
  <c r="G12" i="16"/>
  <c r="G13" i="16"/>
  <c r="G14" i="16"/>
  <c r="G14" i="27" s="1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29" i="27" s="1"/>
  <c r="G30" i="16"/>
  <c r="G30" i="27" s="1"/>
  <c r="G31" i="16"/>
  <c r="G32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H7" i="16"/>
  <c r="G7" i="16"/>
  <c r="F7" i="16"/>
  <c r="H37" i="1"/>
  <c r="E16" i="26" l="1"/>
  <c r="E40" i="18"/>
  <c r="I39" i="32"/>
  <c r="I40" i="32" s="1"/>
  <c r="G16" i="26"/>
  <c r="G40" i="18"/>
  <c r="H15" i="27"/>
  <c r="H23" i="24"/>
  <c r="H23" i="36" s="1"/>
  <c r="H18" i="24"/>
  <c r="H18" i="36" s="1"/>
  <c r="H13" i="24"/>
  <c r="H13" i="36" s="1"/>
  <c r="L29" i="24"/>
  <c r="L29" i="36" s="1"/>
  <c r="I42" i="37"/>
  <c r="I43" i="37" s="1"/>
  <c r="K24" i="24"/>
  <c r="K24" i="36" s="1"/>
  <c r="K10" i="24"/>
  <c r="K10" i="36" s="1"/>
  <c r="K16" i="27"/>
  <c r="K22" i="27"/>
  <c r="I16" i="26"/>
  <c r="I40" i="18"/>
  <c r="Q19" i="24"/>
  <c r="Q19" i="36" s="1"/>
  <c r="L16" i="26"/>
  <c r="L40" i="18"/>
  <c r="H32" i="24"/>
  <c r="H32" i="36" s="1"/>
  <c r="K23" i="24"/>
  <c r="K23" i="36" s="1"/>
  <c r="K29" i="24"/>
  <c r="K29" i="36" s="1"/>
  <c r="K9" i="24"/>
  <c r="K9" i="36" s="1"/>
  <c r="K15" i="27"/>
  <c r="L14" i="27"/>
  <c r="Q18" i="24"/>
  <c r="Q18" i="36" s="1"/>
  <c r="Q30" i="27"/>
  <c r="Q28" i="27"/>
  <c r="Q8" i="27"/>
  <c r="Q33" i="27" s="1"/>
  <c r="K14" i="27"/>
  <c r="J16" i="26"/>
  <c r="J40" i="18"/>
  <c r="M16" i="26"/>
  <c r="M40" i="18"/>
  <c r="N16" i="26"/>
  <c r="N40" i="18"/>
  <c r="K32" i="27"/>
  <c r="K12" i="27"/>
  <c r="K16" i="26"/>
  <c r="K40" i="18"/>
  <c r="K19" i="24"/>
  <c r="K19" i="36" s="1"/>
  <c r="K31" i="27"/>
  <c r="L19" i="24"/>
  <c r="L19" i="36" s="1"/>
  <c r="I11" i="27"/>
  <c r="K18" i="24"/>
  <c r="K18" i="36" s="1"/>
  <c r="K30" i="27"/>
  <c r="K10" i="27"/>
  <c r="Q7" i="24"/>
  <c r="Q7" i="36" s="1"/>
  <c r="H16" i="26"/>
  <c r="H40" i="18"/>
  <c r="K9" i="27"/>
  <c r="A40" i="31"/>
  <c r="D39" i="31" s="1"/>
  <c r="M22" i="27"/>
  <c r="M33" i="27" s="1"/>
  <c r="Q31" i="24"/>
  <c r="Q31" i="36" s="1"/>
  <c r="D16" i="26"/>
  <c r="Q16" i="26" s="1"/>
  <c r="D40" i="18"/>
  <c r="K17" i="24"/>
  <c r="K17" i="36" s="1"/>
  <c r="K29" i="27"/>
  <c r="M32" i="24"/>
  <c r="M32" i="36" s="1"/>
  <c r="Q32" i="24"/>
  <c r="Q32" i="36" s="1"/>
  <c r="I9" i="24"/>
  <c r="I9" i="36" s="1"/>
  <c r="K16" i="24"/>
  <c r="K16" i="36" s="1"/>
  <c r="K28" i="27"/>
  <c r="K8" i="27"/>
  <c r="I8" i="27"/>
  <c r="G25" i="27"/>
  <c r="K27" i="27"/>
  <c r="M21" i="27"/>
  <c r="O26" i="24"/>
  <c r="O26" i="36" s="1"/>
  <c r="O32" i="24"/>
  <c r="O32" i="36" s="1"/>
  <c r="O12" i="24"/>
  <c r="O12" i="36" s="1"/>
  <c r="P27" i="24"/>
  <c r="P27" i="36" s="1"/>
  <c r="Q30" i="24"/>
  <c r="Q30" i="36" s="1"/>
  <c r="I12" i="27"/>
  <c r="F16" i="26"/>
  <c r="F40" i="18"/>
  <c r="H27" i="27"/>
  <c r="H26" i="27"/>
  <c r="H14" i="27"/>
  <c r="H13" i="27"/>
  <c r="H15" i="24"/>
  <c r="H15" i="36" s="1"/>
  <c r="H19" i="24"/>
  <c r="H19" i="36" s="1"/>
  <c r="AJ31" i="19"/>
  <c r="H21" i="27"/>
  <c r="H7" i="27"/>
  <c r="H7" i="24"/>
  <c r="H7" i="36" s="1"/>
  <c r="H8" i="27"/>
  <c r="H20" i="24"/>
  <c r="H20" i="36" s="1"/>
  <c r="H29" i="27"/>
  <c r="G26" i="27"/>
  <c r="H16" i="24"/>
  <c r="H16" i="36" s="1"/>
  <c r="H31" i="27"/>
  <c r="H30" i="24"/>
  <c r="H30" i="36" s="1"/>
  <c r="H11" i="27"/>
  <c r="H11" i="24"/>
  <c r="H11" i="36" s="1"/>
  <c r="H19" i="27"/>
  <c r="H17" i="27"/>
  <c r="H30" i="27"/>
  <c r="H10" i="27"/>
  <c r="H28" i="27"/>
  <c r="H20" i="27"/>
  <c r="H25" i="27"/>
  <c r="H24" i="27"/>
  <c r="H23" i="27"/>
  <c r="H22" i="27"/>
  <c r="G27" i="27"/>
  <c r="G15" i="27"/>
  <c r="R31" i="1"/>
  <c r="R33" i="1" s="1"/>
  <c r="T30" i="20" s="1"/>
  <c r="K8" i="24"/>
  <c r="K8" i="36" s="1"/>
  <c r="K14" i="24"/>
  <c r="K14" i="36" s="1"/>
  <c r="K20" i="27"/>
  <c r="K27" i="24"/>
  <c r="K27" i="36" s="1"/>
  <c r="K7" i="24"/>
  <c r="K7" i="36" s="1"/>
  <c r="K13" i="24"/>
  <c r="K13" i="36" s="1"/>
  <c r="K19" i="27"/>
  <c r="K25" i="27"/>
  <c r="K26" i="24"/>
  <c r="K26" i="36" s="1"/>
  <c r="K32" i="24"/>
  <c r="K32" i="36" s="1"/>
  <c r="K12" i="24"/>
  <c r="K12" i="36" s="1"/>
  <c r="K24" i="27"/>
  <c r="K17" i="27"/>
  <c r="K23" i="27"/>
  <c r="J44" i="33"/>
  <c r="J44" i="34"/>
  <c r="J17" i="24"/>
  <c r="J17" i="36" s="1"/>
  <c r="J25" i="27"/>
  <c r="J22" i="27"/>
  <c r="I23" i="27"/>
  <c r="I22" i="27"/>
  <c r="Q27" i="27"/>
  <c r="Q26" i="27"/>
  <c r="Q25" i="27"/>
  <c r="Q24" i="27"/>
  <c r="Q16" i="24"/>
  <c r="Q7" i="27"/>
  <c r="Q10" i="18"/>
  <c r="AJ11" i="19" s="1"/>
  <c r="Q11" i="18"/>
  <c r="AJ12" i="19" s="1"/>
  <c r="P20" i="24"/>
  <c r="P20" i="36" s="1"/>
  <c r="P8" i="24"/>
  <c r="P8" i="36" s="1"/>
  <c r="Q12" i="18"/>
  <c r="AJ13" i="19" s="1"/>
  <c r="O21" i="24"/>
  <c r="O21" i="36" s="1"/>
  <c r="O30" i="24"/>
  <c r="O30" i="36" s="1"/>
  <c r="O15" i="24"/>
  <c r="O15" i="36" s="1"/>
  <c r="O27" i="24"/>
  <c r="O27" i="36" s="1"/>
  <c r="M15" i="24"/>
  <c r="M15" i="36" s="1"/>
  <c r="M7" i="24"/>
  <c r="M7" i="36" s="1"/>
  <c r="M31" i="24"/>
  <c r="M31" i="36" s="1"/>
  <c r="M11" i="24"/>
  <c r="M11" i="36" s="1"/>
  <c r="M28" i="24"/>
  <c r="M28" i="36" s="1"/>
  <c r="M8" i="24"/>
  <c r="M8" i="36" s="1"/>
  <c r="L13" i="27"/>
  <c r="L27" i="27"/>
  <c r="L12" i="27"/>
  <c r="L15" i="24"/>
  <c r="L15" i="36" s="1"/>
  <c r="L26" i="27"/>
  <c r="L32" i="27"/>
  <c r="L11" i="27"/>
  <c r="L25" i="27"/>
  <c r="L31" i="27"/>
  <c r="L10" i="27"/>
  <c r="L18" i="24"/>
  <c r="L18" i="36" s="1"/>
  <c r="L24" i="27"/>
  <c r="L30" i="27"/>
  <c r="K28" i="24"/>
  <c r="K28" i="36" s="1"/>
  <c r="K18" i="27"/>
  <c r="K11" i="27"/>
  <c r="K31" i="24"/>
  <c r="K31" i="36" s="1"/>
  <c r="K11" i="24"/>
  <c r="K11" i="36" s="1"/>
  <c r="K15" i="24"/>
  <c r="K15" i="36" s="1"/>
  <c r="R29" i="16"/>
  <c r="R8" i="16"/>
  <c r="J22" i="24"/>
  <c r="J22" i="36" s="1"/>
  <c r="I32" i="27"/>
  <c r="I21" i="24"/>
  <c r="I21" i="36" s="1"/>
  <c r="H27" i="24"/>
  <c r="H27" i="36" s="1"/>
  <c r="H22" i="24"/>
  <c r="H22" i="36" s="1"/>
  <c r="H17" i="24"/>
  <c r="H17" i="36" s="1"/>
  <c r="H12" i="24"/>
  <c r="H12" i="36" s="1"/>
  <c r="H9" i="27"/>
  <c r="H14" i="24"/>
  <c r="H14" i="36" s="1"/>
  <c r="H28" i="24"/>
  <c r="H28" i="36" s="1"/>
  <c r="H8" i="24"/>
  <c r="H8" i="36" s="1"/>
  <c r="H31" i="24"/>
  <c r="H31" i="36" s="1"/>
  <c r="H26" i="24"/>
  <c r="H26" i="36" s="1"/>
  <c r="H25" i="24"/>
  <c r="H25" i="36" s="1"/>
  <c r="H10" i="24"/>
  <c r="H10" i="36" s="1"/>
  <c r="H29" i="24"/>
  <c r="H29" i="36" s="1"/>
  <c r="G16" i="27"/>
  <c r="G13" i="27"/>
  <c r="G32" i="27"/>
  <c r="G12" i="27"/>
  <c r="G31" i="27"/>
  <c r="G11" i="27"/>
  <c r="G10" i="27"/>
  <c r="R14" i="16"/>
  <c r="G9" i="27"/>
  <c r="R13" i="16"/>
  <c r="G28" i="27"/>
  <c r="G8" i="27"/>
  <c r="G17" i="27"/>
  <c r="G9" i="24"/>
  <c r="G9" i="36" s="1"/>
  <c r="G7" i="24"/>
  <c r="G7" i="36" s="1"/>
  <c r="G7" i="27"/>
  <c r="G21" i="27"/>
  <c r="G20" i="27"/>
  <c r="G19" i="27"/>
  <c r="G21" i="24"/>
  <c r="G21" i="36" s="1"/>
  <c r="G18" i="27"/>
  <c r="R21" i="16"/>
  <c r="R19" i="16"/>
  <c r="R18" i="16"/>
  <c r="R17" i="16"/>
  <c r="R16" i="16"/>
  <c r="R15" i="16"/>
  <c r="R12" i="16"/>
  <c r="Q6" i="18"/>
  <c r="AJ7" i="19" s="1"/>
  <c r="Q38" i="18"/>
  <c r="AJ36" i="19" s="1"/>
  <c r="Q8" i="18"/>
  <c r="AJ9" i="19" s="1"/>
  <c r="S25" i="37"/>
  <c r="Q23" i="24"/>
  <c r="Q23" i="36" s="1"/>
  <c r="Q23" i="27"/>
  <c r="Q33" i="23"/>
  <c r="O15" i="26" s="1"/>
  <c r="Q19" i="27"/>
  <c r="Q18" i="27"/>
  <c r="Q17" i="27"/>
  <c r="Q16" i="27"/>
  <c r="R30" i="16"/>
  <c r="R10" i="16"/>
  <c r="R11" i="16"/>
  <c r="R31" i="16"/>
  <c r="R27" i="16"/>
  <c r="R25" i="16"/>
  <c r="R24" i="16"/>
  <c r="R23" i="16"/>
  <c r="R22" i="16"/>
  <c r="R20" i="16"/>
  <c r="R26" i="16"/>
  <c r="F40" i="37"/>
  <c r="M35" i="37"/>
  <c r="N35" i="37"/>
  <c r="D42" i="37"/>
  <c r="S24" i="37"/>
  <c r="P29" i="24"/>
  <c r="P29" i="36" s="1"/>
  <c r="P32" i="27"/>
  <c r="P19" i="24"/>
  <c r="P19" i="36" s="1"/>
  <c r="P18" i="24"/>
  <c r="P18" i="36" s="1"/>
  <c r="P17" i="24"/>
  <c r="P17" i="36" s="1"/>
  <c r="P9" i="27"/>
  <c r="P16" i="24"/>
  <c r="P16" i="36" s="1"/>
  <c r="P15" i="24"/>
  <c r="P15" i="36" s="1"/>
  <c r="P20" i="27"/>
  <c r="P19" i="27"/>
  <c r="P18" i="27"/>
  <c r="P17" i="27"/>
  <c r="P16" i="27"/>
  <c r="P13" i="27"/>
  <c r="R16" i="17"/>
  <c r="P26" i="24"/>
  <c r="P26" i="36" s="1"/>
  <c r="R15" i="17"/>
  <c r="P25" i="24"/>
  <c r="P25" i="36" s="1"/>
  <c r="P24" i="24"/>
  <c r="P24" i="36" s="1"/>
  <c r="P23" i="24"/>
  <c r="P23" i="36" s="1"/>
  <c r="P22" i="24"/>
  <c r="P22" i="36" s="1"/>
  <c r="P31" i="27"/>
  <c r="P14" i="24"/>
  <c r="P26" i="27"/>
  <c r="P29" i="27"/>
  <c r="R29" i="17"/>
  <c r="R9" i="17"/>
  <c r="P7" i="24"/>
  <c r="P7" i="36" s="1"/>
  <c r="P13" i="24"/>
  <c r="P25" i="27"/>
  <c r="R8" i="17"/>
  <c r="P32" i="24"/>
  <c r="P32" i="36" s="1"/>
  <c r="P12" i="24"/>
  <c r="P12" i="36" s="1"/>
  <c r="P24" i="27"/>
  <c r="P31" i="24"/>
  <c r="P31" i="36" s="1"/>
  <c r="P23" i="27"/>
  <c r="P30" i="24"/>
  <c r="P30" i="36" s="1"/>
  <c r="P10" i="24"/>
  <c r="P10" i="36" s="1"/>
  <c r="P22" i="27"/>
  <c r="P9" i="24"/>
  <c r="P9" i="36" s="1"/>
  <c r="P21" i="27"/>
  <c r="R9" i="16"/>
  <c r="P12" i="27"/>
  <c r="P11" i="27"/>
  <c r="P10" i="27"/>
  <c r="R22" i="17"/>
  <c r="P14" i="27"/>
  <c r="A40" i="35"/>
  <c r="R32" i="16"/>
  <c r="P15" i="27"/>
  <c r="P7" i="27"/>
  <c r="P11" i="24"/>
  <c r="P11" i="36" s="1"/>
  <c r="P28" i="24"/>
  <c r="P28" i="36" s="1"/>
  <c r="P28" i="27"/>
  <c r="R28" i="16"/>
  <c r="P30" i="27"/>
  <c r="P27" i="27"/>
  <c r="P8" i="27"/>
  <c r="AJ6" i="19"/>
  <c r="F40" i="35"/>
  <c r="P33" i="23"/>
  <c r="N15" i="26" s="1"/>
  <c r="P21" i="24"/>
  <c r="P21" i="36" s="1"/>
  <c r="R26" i="17"/>
  <c r="R25" i="17"/>
  <c r="R24" i="17"/>
  <c r="R23" i="17"/>
  <c r="R17" i="17"/>
  <c r="R14" i="17"/>
  <c r="R13" i="17"/>
  <c r="R12" i="17"/>
  <c r="R11" i="17"/>
  <c r="R10" i="17"/>
  <c r="R7" i="16"/>
  <c r="R27" i="17"/>
  <c r="X32" i="34"/>
  <c r="S25" i="35"/>
  <c r="X32" i="35"/>
  <c r="M35" i="35"/>
  <c r="N35" i="35"/>
  <c r="R30" i="17"/>
  <c r="O16" i="24"/>
  <c r="O16" i="36" s="1"/>
  <c r="A37" i="35"/>
  <c r="A38" i="35" s="1"/>
  <c r="D42" i="35"/>
  <c r="I42" i="35"/>
  <c r="I43" i="35" s="1"/>
  <c r="F37" i="34"/>
  <c r="O20" i="24"/>
  <c r="S32" i="33"/>
  <c r="S26" i="33"/>
  <c r="S27" i="33"/>
  <c r="N32" i="24"/>
  <c r="N32" i="36" s="1"/>
  <c r="N31" i="24"/>
  <c r="N31" i="36" s="1"/>
  <c r="N11" i="24"/>
  <c r="N11" i="36" s="1"/>
  <c r="N29" i="24"/>
  <c r="N29" i="36" s="1"/>
  <c r="N9" i="24"/>
  <c r="N9" i="36" s="1"/>
  <c r="N18" i="24"/>
  <c r="N18" i="36" s="1"/>
  <c r="N17" i="24"/>
  <c r="N17" i="36" s="1"/>
  <c r="N16" i="24"/>
  <c r="N16" i="36" s="1"/>
  <c r="N9" i="27"/>
  <c r="N15" i="24"/>
  <c r="N15" i="36" s="1"/>
  <c r="N21" i="27"/>
  <c r="N7" i="27"/>
  <c r="N32" i="27"/>
  <c r="N20" i="27"/>
  <c r="N19" i="27"/>
  <c r="N18" i="27"/>
  <c r="R7" i="17"/>
  <c r="R32" i="17"/>
  <c r="O33" i="23"/>
  <c r="M15" i="26" s="1"/>
  <c r="R31" i="17"/>
  <c r="M35" i="34"/>
  <c r="N35" i="34"/>
  <c r="S25" i="34"/>
  <c r="A40" i="34"/>
  <c r="R21" i="17"/>
  <c r="R19" i="17"/>
  <c r="R18" i="17"/>
  <c r="N28" i="24"/>
  <c r="N28" i="36" s="1"/>
  <c r="N8" i="24"/>
  <c r="N8" i="36" s="1"/>
  <c r="N33" i="36" s="1"/>
  <c r="N35" i="36" s="1"/>
  <c r="N27" i="24"/>
  <c r="N27" i="36" s="1"/>
  <c r="N26" i="24"/>
  <c r="N26" i="36" s="1"/>
  <c r="N25" i="24"/>
  <c r="N25" i="36" s="1"/>
  <c r="N24" i="24"/>
  <c r="N24" i="36" s="1"/>
  <c r="N17" i="27"/>
  <c r="A40" i="33"/>
  <c r="A37" i="33" s="1"/>
  <c r="A38" i="33" s="1"/>
  <c r="N23" i="24"/>
  <c r="N23" i="36" s="1"/>
  <c r="N16" i="27"/>
  <c r="N15" i="27"/>
  <c r="F37" i="33"/>
  <c r="N14" i="27"/>
  <c r="N13" i="27"/>
  <c r="N13" i="24"/>
  <c r="N13" i="36" s="1"/>
  <c r="N12" i="27"/>
  <c r="N12" i="24"/>
  <c r="N12" i="36" s="1"/>
  <c r="N11" i="27"/>
  <c r="N22" i="27"/>
  <c r="N31" i="27"/>
  <c r="N29" i="27"/>
  <c r="N28" i="27"/>
  <c r="N27" i="27"/>
  <c r="N26" i="27"/>
  <c r="N10" i="27"/>
  <c r="N25" i="27"/>
  <c r="N24" i="27"/>
  <c r="N23" i="27"/>
  <c r="N14" i="24"/>
  <c r="N14" i="36" s="1"/>
  <c r="N10" i="24"/>
  <c r="N10" i="36" s="1"/>
  <c r="R20" i="17"/>
  <c r="N20" i="24"/>
  <c r="N20" i="36" s="1"/>
  <c r="N33" i="23"/>
  <c r="L15" i="26" s="1"/>
  <c r="N30" i="24"/>
  <c r="N30" i="36" s="1"/>
  <c r="N30" i="27"/>
  <c r="M35" i="33"/>
  <c r="N35" i="33"/>
  <c r="X32" i="33"/>
  <c r="I39" i="33"/>
  <c r="I40" i="33" s="1"/>
  <c r="I42" i="33" s="1"/>
  <c r="M23" i="24"/>
  <c r="M23" i="36" s="1"/>
  <c r="M13" i="24"/>
  <c r="M13" i="36" s="1"/>
  <c r="M12" i="24"/>
  <c r="M12" i="36" s="1"/>
  <c r="M17" i="24"/>
  <c r="M17" i="36" s="1"/>
  <c r="M16" i="24"/>
  <c r="M16" i="36" s="1"/>
  <c r="S25" i="32"/>
  <c r="F37" i="32"/>
  <c r="M33" i="23"/>
  <c r="K15" i="26" s="1"/>
  <c r="M14" i="24"/>
  <c r="M14" i="36" s="1"/>
  <c r="M30" i="24"/>
  <c r="M30" i="36" s="1"/>
  <c r="M10" i="24"/>
  <c r="M10" i="36" s="1"/>
  <c r="M29" i="24"/>
  <c r="M29" i="36" s="1"/>
  <c r="M9" i="24"/>
  <c r="M9" i="36" s="1"/>
  <c r="M27" i="24"/>
  <c r="M27" i="36" s="1"/>
  <c r="M26" i="24"/>
  <c r="M26" i="36" s="1"/>
  <c r="M25" i="24"/>
  <c r="M25" i="36" s="1"/>
  <c r="M24" i="24"/>
  <c r="M24" i="36" s="1"/>
  <c r="S25" i="31"/>
  <c r="N29" i="31"/>
  <c r="N35" i="31" s="1"/>
  <c r="L28" i="17"/>
  <c r="L28" i="27" s="1"/>
  <c r="L28" i="23"/>
  <c r="L28" i="24" s="1"/>
  <c r="L28" i="36" s="1"/>
  <c r="N35" i="32"/>
  <c r="M35" i="32"/>
  <c r="A40" i="32"/>
  <c r="I42" i="32"/>
  <c r="L7" i="27"/>
  <c r="L29" i="27"/>
  <c r="L9" i="27"/>
  <c r="L8" i="27"/>
  <c r="L19" i="27"/>
  <c r="L26" i="24"/>
  <c r="L26" i="36" s="1"/>
  <c r="L18" i="27"/>
  <c r="L25" i="24"/>
  <c r="L25" i="36" s="1"/>
  <c r="L11" i="24"/>
  <c r="L11" i="36" s="1"/>
  <c r="L24" i="24"/>
  <c r="L24" i="36" s="1"/>
  <c r="L30" i="24"/>
  <c r="L30" i="36" s="1"/>
  <c r="L10" i="24"/>
  <c r="L10" i="36" s="1"/>
  <c r="L23" i="24"/>
  <c r="L23" i="36" s="1"/>
  <c r="L22" i="24"/>
  <c r="L22" i="36" s="1"/>
  <c r="L27" i="24"/>
  <c r="L27" i="36" s="1"/>
  <c r="L9" i="24"/>
  <c r="L9" i="36" s="1"/>
  <c r="L8" i="24"/>
  <c r="L8" i="36" s="1"/>
  <c r="L17" i="24"/>
  <c r="L17" i="36" s="1"/>
  <c r="L16" i="24"/>
  <c r="L16" i="36" s="1"/>
  <c r="L14" i="24"/>
  <c r="L14" i="36" s="1"/>
  <c r="L7" i="24"/>
  <c r="L7" i="36" s="1"/>
  <c r="L13" i="24"/>
  <c r="L13" i="36" s="1"/>
  <c r="L12" i="24"/>
  <c r="L12" i="36" s="1"/>
  <c r="M35" i="31"/>
  <c r="I39" i="31"/>
  <c r="I40" i="31" s="1"/>
  <c r="I42" i="31" s="1"/>
  <c r="X32" i="30"/>
  <c r="K20" i="24"/>
  <c r="K20" i="36" s="1"/>
  <c r="F37" i="30"/>
  <c r="I39" i="30"/>
  <c r="I40" i="30" s="1"/>
  <c r="I42" i="30" s="1"/>
  <c r="A40" i="30"/>
  <c r="D39" i="30" s="1"/>
  <c r="K30" i="24"/>
  <c r="K30" i="36" s="1"/>
  <c r="K26" i="27"/>
  <c r="K25" i="24"/>
  <c r="K25" i="36" s="1"/>
  <c r="K21" i="27"/>
  <c r="I20" i="27"/>
  <c r="I41" i="29"/>
  <c r="K33" i="23"/>
  <c r="I15" i="26" s="1"/>
  <c r="I18" i="27"/>
  <c r="I17" i="27"/>
  <c r="I16" i="27"/>
  <c r="I15" i="27"/>
  <c r="I31" i="27"/>
  <c r="I30" i="27"/>
  <c r="I27" i="27"/>
  <c r="I19" i="27"/>
  <c r="J21" i="27"/>
  <c r="I29" i="27"/>
  <c r="I28" i="27"/>
  <c r="J7" i="27"/>
  <c r="J25" i="24"/>
  <c r="J25" i="36" s="1"/>
  <c r="J15" i="24"/>
  <c r="J15" i="36" s="1"/>
  <c r="J32" i="27"/>
  <c r="J14" i="24"/>
  <c r="J14" i="36" s="1"/>
  <c r="J29" i="27"/>
  <c r="J9" i="27"/>
  <c r="J13" i="24"/>
  <c r="J13" i="36" s="1"/>
  <c r="J8" i="27"/>
  <c r="J26" i="24"/>
  <c r="J26" i="36" s="1"/>
  <c r="N35" i="30"/>
  <c r="M35" i="30"/>
  <c r="S30" i="30"/>
  <c r="J15" i="27"/>
  <c r="J10" i="24"/>
  <c r="J10" i="36" s="1"/>
  <c r="J14" i="27"/>
  <c r="J13" i="27"/>
  <c r="J10" i="27"/>
  <c r="J30" i="27"/>
  <c r="J12" i="24"/>
  <c r="J12" i="36" s="1"/>
  <c r="J11" i="24"/>
  <c r="J11" i="36" s="1"/>
  <c r="J18" i="27"/>
  <c r="J24" i="27"/>
  <c r="J12" i="27"/>
  <c r="J31" i="27"/>
  <c r="J7" i="24"/>
  <c r="J7" i="36" s="1"/>
  <c r="J23" i="27"/>
  <c r="J11" i="27"/>
  <c r="J21" i="24"/>
  <c r="J21" i="36" s="1"/>
  <c r="J9" i="24"/>
  <c r="J9" i="36" s="1"/>
  <c r="J28" i="27"/>
  <c r="J32" i="24"/>
  <c r="J32" i="36" s="1"/>
  <c r="J8" i="24"/>
  <c r="J8" i="36" s="1"/>
  <c r="J27" i="27"/>
  <c r="J31" i="24"/>
  <c r="J31" i="36" s="1"/>
  <c r="J28" i="24"/>
  <c r="J28" i="36" s="1"/>
  <c r="J24" i="24"/>
  <c r="J24" i="36" s="1"/>
  <c r="J19" i="27"/>
  <c r="J19" i="24"/>
  <c r="J19" i="36" s="1"/>
  <c r="J23" i="24"/>
  <c r="J23" i="36" s="1"/>
  <c r="J29" i="24"/>
  <c r="J29" i="36" s="1"/>
  <c r="J26" i="27"/>
  <c r="A37" i="29"/>
  <c r="A38" i="29" s="1"/>
  <c r="J20" i="27"/>
  <c r="J20" i="24"/>
  <c r="J20" i="36" s="1"/>
  <c r="J18" i="24"/>
  <c r="J18" i="36" s="1"/>
  <c r="J27" i="24"/>
  <c r="J27" i="36" s="1"/>
  <c r="J30" i="24"/>
  <c r="J30" i="36" s="1"/>
  <c r="J17" i="27"/>
  <c r="J16" i="24"/>
  <c r="J16" i="36" s="1"/>
  <c r="J16" i="27"/>
  <c r="F37" i="29"/>
  <c r="J33" i="23"/>
  <c r="H15" i="26" s="1"/>
  <c r="S30" i="29"/>
  <c r="M35" i="29"/>
  <c r="N35" i="29"/>
  <c r="F7" i="27"/>
  <c r="F9" i="27"/>
  <c r="F32" i="27"/>
  <c r="F10" i="24"/>
  <c r="F10" i="36" s="1"/>
  <c r="F18" i="27"/>
  <c r="F24" i="27"/>
  <c r="F29" i="27"/>
  <c r="F11" i="27"/>
  <c r="F28" i="27"/>
  <c r="F16" i="27"/>
  <c r="F27" i="27"/>
  <c r="F15" i="27"/>
  <c r="F30" i="27"/>
  <c r="F17" i="27"/>
  <c r="F23" i="27"/>
  <c r="F26" i="27"/>
  <c r="F14" i="27"/>
  <c r="F25" i="27"/>
  <c r="F13" i="27"/>
  <c r="F12" i="27"/>
  <c r="F22" i="27"/>
  <c r="F10" i="27"/>
  <c r="F21" i="27"/>
  <c r="F20" i="27"/>
  <c r="F8" i="27"/>
  <c r="F31" i="27"/>
  <c r="F19" i="27"/>
  <c r="F30" i="24"/>
  <c r="F30" i="36" s="1"/>
  <c r="F18" i="24"/>
  <c r="F18" i="36" s="1"/>
  <c r="I14" i="27"/>
  <c r="I24" i="27"/>
  <c r="I10" i="27"/>
  <c r="I26" i="27"/>
  <c r="I7" i="27"/>
  <c r="I13" i="27"/>
  <c r="I21" i="27"/>
  <c r="I28" i="24"/>
  <c r="I28" i="36" s="1"/>
  <c r="I30" i="24"/>
  <c r="I30" i="36" s="1"/>
  <c r="I24" i="24"/>
  <c r="I24" i="36" s="1"/>
  <c r="I12" i="24"/>
  <c r="I12" i="36" s="1"/>
  <c r="I22" i="24"/>
  <c r="I22" i="36" s="1"/>
  <c r="I18" i="24"/>
  <c r="I18" i="36" s="1"/>
  <c r="I10" i="24"/>
  <c r="I10" i="36" s="1"/>
  <c r="I27" i="24"/>
  <c r="I27" i="36" s="1"/>
  <c r="I15" i="24"/>
  <c r="I15" i="36" s="1"/>
  <c r="I16" i="24"/>
  <c r="I16" i="36" s="1"/>
  <c r="I26" i="24"/>
  <c r="I26" i="36" s="1"/>
  <c r="I23" i="24"/>
  <c r="I23" i="36" s="1"/>
  <c r="I14" i="24"/>
  <c r="I14" i="36" s="1"/>
  <c r="I11" i="24"/>
  <c r="I11" i="36" s="1"/>
  <c r="R15" i="23"/>
  <c r="I7" i="24"/>
  <c r="I7" i="36" s="1"/>
  <c r="I32" i="24"/>
  <c r="I32" i="36" s="1"/>
  <c r="I29" i="24"/>
  <c r="I29" i="36" s="1"/>
  <c r="I20" i="24"/>
  <c r="I20" i="36" s="1"/>
  <c r="I17" i="24"/>
  <c r="I17" i="36" s="1"/>
  <c r="I8" i="24"/>
  <c r="I8" i="36" s="1"/>
  <c r="R32" i="23"/>
  <c r="I31" i="24"/>
  <c r="I31" i="36" s="1"/>
  <c r="I25" i="24"/>
  <c r="I25" i="36" s="1"/>
  <c r="I19" i="24"/>
  <c r="I19" i="36" s="1"/>
  <c r="I13" i="24"/>
  <c r="I13" i="36" s="1"/>
  <c r="R24" i="23"/>
  <c r="H33" i="23"/>
  <c r="F15" i="26" s="1"/>
  <c r="R30" i="23"/>
  <c r="R18" i="23"/>
  <c r="G27" i="24"/>
  <c r="G27" i="36" s="1"/>
  <c r="G15" i="24"/>
  <c r="G15" i="36" s="1"/>
  <c r="R26" i="23"/>
  <c r="R20" i="23"/>
  <c r="R17" i="23"/>
  <c r="R29" i="23"/>
  <c r="R7" i="23"/>
  <c r="F27" i="24"/>
  <c r="F27" i="36" s="1"/>
  <c r="F15" i="24"/>
  <c r="F15" i="36" s="1"/>
  <c r="F29" i="24"/>
  <c r="F29" i="36" s="1"/>
  <c r="F17" i="24"/>
  <c r="F17" i="36" s="1"/>
  <c r="F25" i="24"/>
  <c r="F25" i="36" s="1"/>
  <c r="F13" i="24"/>
  <c r="F13" i="36" s="1"/>
  <c r="Q14" i="26"/>
  <c r="D22" i="26"/>
  <c r="Q22" i="26" s="1"/>
  <c r="G29" i="24"/>
  <c r="G29" i="36" s="1"/>
  <c r="G31" i="24"/>
  <c r="G31" i="36" s="1"/>
  <c r="G28" i="24"/>
  <c r="G28" i="36" s="1"/>
  <c r="G25" i="24"/>
  <c r="G25" i="36" s="1"/>
  <c r="G22" i="24"/>
  <c r="G22" i="36" s="1"/>
  <c r="G19" i="24"/>
  <c r="G19" i="36" s="1"/>
  <c r="G16" i="24"/>
  <c r="G16" i="36" s="1"/>
  <c r="G13" i="24"/>
  <c r="G13" i="36" s="1"/>
  <c r="G10" i="24"/>
  <c r="G10" i="36" s="1"/>
  <c r="G17" i="24"/>
  <c r="G17" i="36" s="1"/>
  <c r="G8" i="24"/>
  <c r="G8" i="36" s="1"/>
  <c r="G12" i="24"/>
  <c r="G12" i="36" s="1"/>
  <c r="G26" i="24"/>
  <c r="G26" i="36" s="1"/>
  <c r="G20" i="24"/>
  <c r="G20" i="36" s="1"/>
  <c r="G30" i="24"/>
  <c r="G30" i="36" s="1"/>
  <c r="G32" i="24"/>
  <c r="G32" i="36" s="1"/>
  <c r="G18" i="24"/>
  <c r="G18" i="36" s="1"/>
  <c r="G23" i="24"/>
  <c r="G23" i="36" s="1"/>
  <c r="G11" i="24"/>
  <c r="G11" i="36" s="1"/>
  <c r="R23" i="23"/>
  <c r="R11" i="23"/>
  <c r="R16" i="23"/>
  <c r="R21" i="23"/>
  <c r="R9" i="23"/>
  <c r="R22" i="23"/>
  <c r="R19" i="23"/>
  <c r="G33" i="23"/>
  <c r="E15" i="26" s="1"/>
  <c r="G24" i="24"/>
  <c r="G24" i="36" s="1"/>
  <c r="R14" i="23"/>
  <c r="R31" i="23"/>
  <c r="F24" i="24"/>
  <c r="F24" i="36" s="1"/>
  <c r="F12" i="24"/>
  <c r="F12" i="36" s="1"/>
  <c r="F32" i="24"/>
  <c r="F32" i="36" s="1"/>
  <c r="F26" i="24"/>
  <c r="F26" i="36" s="1"/>
  <c r="F23" i="24"/>
  <c r="F23" i="36" s="1"/>
  <c r="F20" i="24"/>
  <c r="F20" i="36" s="1"/>
  <c r="F11" i="24"/>
  <c r="F11" i="36" s="1"/>
  <c r="F8" i="24"/>
  <c r="F8" i="36" s="1"/>
  <c r="R27" i="23"/>
  <c r="F14" i="24"/>
  <c r="F14" i="36" s="1"/>
  <c r="R25" i="23"/>
  <c r="F28" i="24"/>
  <c r="F28" i="36" s="1"/>
  <c r="R12" i="23"/>
  <c r="F7" i="24"/>
  <c r="F7" i="36" s="1"/>
  <c r="R13" i="23"/>
  <c r="F31" i="24"/>
  <c r="F31" i="36" s="1"/>
  <c r="F22" i="24"/>
  <c r="F22" i="36" s="1"/>
  <c r="F19" i="24"/>
  <c r="F19" i="36" s="1"/>
  <c r="F16" i="24"/>
  <c r="F16" i="36" s="1"/>
  <c r="F33" i="23"/>
  <c r="D15" i="26" s="1"/>
  <c r="F21" i="24"/>
  <c r="F21" i="36" s="1"/>
  <c r="F9" i="24"/>
  <c r="F9" i="36" s="1"/>
  <c r="R10" i="23"/>
  <c r="I33" i="23"/>
  <c r="G15" i="26" s="1"/>
  <c r="R8" i="23"/>
  <c r="K35" i="22"/>
  <c r="J35" i="22"/>
  <c r="I35" i="22"/>
  <c r="H35" i="22"/>
  <c r="S24" i="22" s="1"/>
  <c r="G35" i="22"/>
  <c r="F35" i="22"/>
  <c r="N33" i="22"/>
  <c r="M33" i="22"/>
  <c r="V32" i="16" s="1"/>
  <c r="N32" i="22"/>
  <c r="M32" i="22"/>
  <c r="V31" i="16" s="1"/>
  <c r="N31" i="22"/>
  <c r="M31" i="22"/>
  <c r="V30" i="16" s="1"/>
  <c r="N30" i="22"/>
  <c r="M30" i="22"/>
  <c r="V29" i="16" s="1"/>
  <c r="N29" i="22"/>
  <c r="M29" i="22"/>
  <c r="V28" i="16" s="1"/>
  <c r="N28" i="22"/>
  <c r="M28" i="22"/>
  <c r="V27" i="16" s="1"/>
  <c r="N27" i="22"/>
  <c r="M27" i="22"/>
  <c r="V26" i="16" s="1"/>
  <c r="N26" i="22"/>
  <c r="M26" i="22"/>
  <c r="V25" i="16" s="1"/>
  <c r="N25" i="22"/>
  <c r="M25" i="22"/>
  <c r="V24" i="16" s="1"/>
  <c r="N24" i="22"/>
  <c r="M24" i="22"/>
  <c r="V23" i="16" s="1"/>
  <c r="N23" i="22"/>
  <c r="M23" i="22"/>
  <c r="V22" i="16" s="1"/>
  <c r="N22" i="22"/>
  <c r="M22" i="22"/>
  <c r="V21" i="16" s="1"/>
  <c r="N21" i="22"/>
  <c r="M21" i="22"/>
  <c r="V20" i="16" s="1"/>
  <c r="N20" i="22"/>
  <c r="M20" i="22"/>
  <c r="V19" i="16" s="1"/>
  <c r="N19" i="22"/>
  <c r="M19" i="22"/>
  <c r="V18" i="16" s="1"/>
  <c r="N18" i="22"/>
  <c r="M18" i="22"/>
  <c r="V17" i="16" s="1"/>
  <c r="N17" i="22"/>
  <c r="M17" i="22"/>
  <c r="V16" i="16" s="1"/>
  <c r="N16" i="22"/>
  <c r="M16" i="22"/>
  <c r="V15" i="16" s="1"/>
  <c r="N15" i="22"/>
  <c r="M15" i="22"/>
  <c r="V14" i="16" s="1"/>
  <c r="N14" i="22"/>
  <c r="M14" i="22"/>
  <c r="V13" i="16" s="1"/>
  <c r="N13" i="22"/>
  <c r="M13" i="22"/>
  <c r="V12" i="16" s="1"/>
  <c r="N12" i="22"/>
  <c r="M12" i="22"/>
  <c r="V11" i="16" s="1"/>
  <c r="N11" i="22"/>
  <c r="M11" i="22"/>
  <c r="V10" i="16" s="1"/>
  <c r="N10" i="22"/>
  <c r="M10" i="22"/>
  <c r="V9" i="16" s="1"/>
  <c r="N9" i="22"/>
  <c r="M9" i="22"/>
  <c r="V8" i="16" s="1"/>
  <c r="N8" i="22"/>
  <c r="M8" i="22"/>
  <c r="V7" i="16" s="1"/>
  <c r="N18" i="20"/>
  <c r="T18" i="16" s="1"/>
  <c r="N17" i="20"/>
  <c r="T17" i="16" s="1"/>
  <c r="N16" i="20"/>
  <c r="T16" i="16" s="1"/>
  <c r="N15" i="20"/>
  <c r="T15" i="16" s="1"/>
  <c r="L33" i="21"/>
  <c r="K33" i="21"/>
  <c r="I33" i="21"/>
  <c r="T29" i="21" s="1"/>
  <c r="H33" i="21"/>
  <c r="G33" i="21"/>
  <c r="F33" i="21"/>
  <c r="O32" i="21"/>
  <c r="N32" i="21"/>
  <c r="U32" i="16" s="1"/>
  <c r="O31" i="21"/>
  <c r="N31" i="21"/>
  <c r="U31" i="16" s="1"/>
  <c r="O30" i="21"/>
  <c r="N30" i="21"/>
  <c r="U30" i="16" s="1"/>
  <c r="O29" i="21"/>
  <c r="N29" i="21"/>
  <c r="U29" i="16" s="1"/>
  <c r="O28" i="21"/>
  <c r="N28" i="21"/>
  <c r="U28" i="16" s="1"/>
  <c r="O27" i="21"/>
  <c r="N27" i="21"/>
  <c r="U27" i="16" s="1"/>
  <c r="O26" i="21"/>
  <c r="N26" i="21"/>
  <c r="U26" i="16" s="1"/>
  <c r="O25" i="21"/>
  <c r="N25" i="21"/>
  <c r="U25" i="16" s="1"/>
  <c r="O24" i="21"/>
  <c r="N24" i="21"/>
  <c r="U24" i="16" s="1"/>
  <c r="O23" i="21"/>
  <c r="N23" i="21"/>
  <c r="U23" i="16" s="1"/>
  <c r="O22" i="21"/>
  <c r="N22" i="21"/>
  <c r="U22" i="16" s="1"/>
  <c r="O21" i="21"/>
  <c r="N21" i="21"/>
  <c r="U21" i="16" s="1"/>
  <c r="O20" i="21"/>
  <c r="N20" i="21"/>
  <c r="U20" i="16" s="1"/>
  <c r="O19" i="21"/>
  <c r="N19" i="21"/>
  <c r="U19" i="16" s="1"/>
  <c r="O18" i="21"/>
  <c r="N18" i="21"/>
  <c r="U18" i="16" s="1"/>
  <c r="O17" i="21"/>
  <c r="N17" i="21"/>
  <c r="U17" i="16" s="1"/>
  <c r="O16" i="21"/>
  <c r="N16" i="21"/>
  <c r="U16" i="16" s="1"/>
  <c r="O15" i="21"/>
  <c r="N15" i="21"/>
  <c r="U15" i="16" s="1"/>
  <c r="T24" i="21"/>
  <c r="S38" i="21" s="1"/>
  <c r="O14" i="21"/>
  <c r="N14" i="21"/>
  <c r="U14" i="16" s="1"/>
  <c r="O13" i="21"/>
  <c r="N13" i="21"/>
  <c r="U13" i="16" s="1"/>
  <c r="O12" i="21"/>
  <c r="N12" i="21"/>
  <c r="U12" i="16" s="1"/>
  <c r="O11" i="21"/>
  <c r="N11" i="21"/>
  <c r="U11" i="16" s="1"/>
  <c r="O10" i="21"/>
  <c r="N10" i="21"/>
  <c r="U10" i="16" s="1"/>
  <c r="O9" i="21"/>
  <c r="N9" i="21"/>
  <c r="U9" i="16" s="1"/>
  <c r="O8" i="21"/>
  <c r="N8" i="21"/>
  <c r="U8" i="16" s="1"/>
  <c r="O7" i="21"/>
  <c r="N7" i="21"/>
  <c r="U7" i="16" s="1"/>
  <c r="N29" i="1"/>
  <c r="L33" i="20"/>
  <c r="K33" i="20"/>
  <c r="I33" i="20"/>
  <c r="H33" i="20"/>
  <c r="T25" i="20" s="1"/>
  <c r="G33" i="20"/>
  <c r="F33" i="20"/>
  <c r="N32" i="20"/>
  <c r="T32" i="16" s="1"/>
  <c r="N31" i="20"/>
  <c r="T31" i="16" s="1"/>
  <c r="N30" i="20"/>
  <c r="T30" i="16" s="1"/>
  <c r="N29" i="20"/>
  <c r="T29" i="16" s="1"/>
  <c r="N28" i="20"/>
  <c r="T28" i="16" s="1"/>
  <c r="N27" i="20"/>
  <c r="T27" i="16" s="1"/>
  <c r="N26" i="20"/>
  <c r="T26" i="16" s="1"/>
  <c r="N25" i="20"/>
  <c r="T25" i="16" s="1"/>
  <c r="N24" i="20"/>
  <c r="T24" i="16" s="1"/>
  <c r="N23" i="20"/>
  <c r="T23" i="16" s="1"/>
  <c r="N22" i="20"/>
  <c r="T22" i="16" s="1"/>
  <c r="N21" i="20"/>
  <c r="T21" i="16" s="1"/>
  <c r="N20" i="20"/>
  <c r="T20" i="16" s="1"/>
  <c r="N19" i="20"/>
  <c r="T19" i="16" s="1"/>
  <c r="N14" i="20"/>
  <c r="T14" i="16" s="1"/>
  <c r="N13" i="20"/>
  <c r="T13" i="16" s="1"/>
  <c r="N12" i="20"/>
  <c r="T12" i="16" s="1"/>
  <c r="N11" i="20"/>
  <c r="T11" i="16" s="1"/>
  <c r="N10" i="20"/>
  <c r="T10" i="16" s="1"/>
  <c r="N9" i="20"/>
  <c r="T9" i="16" s="1"/>
  <c r="N8" i="20"/>
  <c r="T8" i="16" s="1"/>
  <c r="O7" i="20"/>
  <c r="N7" i="20"/>
  <c r="T7" i="16" s="1"/>
  <c r="N32" i="1"/>
  <c r="S32" i="16" s="1"/>
  <c r="N7" i="1"/>
  <c r="P7" i="20" s="1"/>
  <c r="N8" i="1"/>
  <c r="P8" i="20" s="1"/>
  <c r="O8" i="1"/>
  <c r="N9" i="1"/>
  <c r="O9" i="1"/>
  <c r="N10" i="1"/>
  <c r="S10" i="16" s="1"/>
  <c r="O10" i="1"/>
  <c r="N11" i="1"/>
  <c r="S11" i="16" s="1"/>
  <c r="O11" i="1"/>
  <c r="N12" i="1"/>
  <c r="S12" i="16" s="1"/>
  <c r="O12" i="1"/>
  <c r="N13" i="1"/>
  <c r="P13" i="20" s="1"/>
  <c r="O13" i="1"/>
  <c r="N14" i="1"/>
  <c r="O14" i="1"/>
  <c r="N15" i="1"/>
  <c r="O15" i="1"/>
  <c r="N16" i="1"/>
  <c r="S16" i="16" s="1"/>
  <c r="O16" i="1"/>
  <c r="N17" i="1"/>
  <c r="P17" i="20" s="1"/>
  <c r="O17" i="1"/>
  <c r="N18" i="1"/>
  <c r="P18" i="20" s="1"/>
  <c r="O18" i="1"/>
  <c r="N19" i="1"/>
  <c r="P19" i="20" s="1"/>
  <c r="O19" i="1"/>
  <c r="N20" i="1"/>
  <c r="O20" i="1"/>
  <c r="N21" i="1"/>
  <c r="P21" i="20" s="1"/>
  <c r="O21" i="1"/>
  <c r="N22" i="1"/>
  <c r="P22" i="20" s="1"/>
  <c r="O22" i="1"/>
  <c r="N23" i="1"/>
  <c r="S23" i="16" s="1"/>
  <c r="O23" i="1"/>
  <c r="N24" i="1"/>
  <c r="O24" i="1"/>
  <c r="N25" i="1"/>
  <c r="S25" i="16" s="1"/>
  <c r="O25" i="1"/>
  <c r="N26" i="1"/>
  <c r="O26" i="1"/>
  <c r="N27" i="1"/>
  <c r="P27" i="20" s="1"/>
  <c r="O27" i="1"/>
  <c r="N28" i="1"/>
  <c r="S28" i="16" s="1"/>
  <c r="O28" i="1"/>
  <c r="O29" i="1"/>
  <c r="N30" i="1"/>
  <c r="P30" i="20" s="1"/>
  <c r="O30" i="1"/>
  <c r="N31" i="1"/>
  <c r="P31" i="20" s="1"/>
  <c r="O31" i="1"/>
  <c r="O32" i="1"/>
  <c r="O7" i="1"/>
  <c r="K33" i="1"/>
  <c r="L33" i="1"/>
  <c r="AJ62" i="19"/>
  <c r="AF52" i="19"/>
  <c r="Q42" i="19"/>
  <c r="C42" i="19"/>
  <c r="Q51" i="19"/>
  <c r="Q50" i="19"/>
  <c r="Q49" i="19"/>
  <c r="Q48" i="19"/>
  <c r="Q41" i="19"/>
  <c r="Q39" i="19"/>
  <c r="Q47" i="19"/>
  <c r="Q46" i="19"/>
  <c r="Q37" i="19"/>
  <c r="Q26" i="19"/>
  <c r="Q45" i="19"/>
  <c r="Q44" i="19"/>
  <c r="Q28" i="19"/>
  <c r="Q40" i="19"/>
  <c r="Q43" i="19"/>
  <c r="Q38" i="19"/>
  <c r="Q25" i="19"/>
  <c r="Q29" i="19"/>
  <c r="Q24" i="19"/>
  <c r="Q27" i="19"/>
  <c r="Q23" i="19"/>
  <c r="Q22" i="19"/>
  <c r="Q21" i="19"/>
  <c r="K33" i="36" l="1"/>
  <c r="K35" i="36" s="1"/>
  <c r="D17" i="26"/>
  <c r="E14" i="26" s="1"/>
  <c r="K33" i="27"/>
  <c r="R28" i="17"/>
  <c r="A35" i="31"/>
  <c r="A37" i="31"/>
  <c r="A38" i="31" s="1"/>
  <c r="P13" i="36"/>
  <c r="R13" i="36" s="1"/>
  <c r="R14" i="36"/>
  <c r="P14" i="36"/>
  <c r="L33" i="36"/>
  <c r="L35" i="36" s="1"/>
  <c r="O33" i="24"/>
  <c r="O35" i="24" s="1"/>
  <c r="M8" i="28" s="1"/>
  <c r="O20" i="36"/>
  <c r="O33" i="36" s="1"/>
  <c r="O35" i="36" s="1"/>
  <c r="M33" i="36"/>
  <c r="M35" i="36" s="1"/>
  <c r="L33" i="23"/>
  <c r="J15" i="26" s="1"/>
  <c r="Q33" i="36"/>
  <c r="Q35" i="36" s="1"/>
  <c r="Q16" i="36"/>
  <c r="R27" i="36"/>
  <c r="J33" i="36"/>
  <c r="J35" i="36" s="1"/>
  <c r="J37" i="36" s="1"/>
  <c r="H41" i="21"/>
  <c r="S40" i="21"/>
  <c r="R15" i="36"/>
  <c r="R16" i="36"/>
  <c r="R8" i="36"/>
  <c r="I33" i="36"/>
  <c r="I35" i="36" s="1"/>
  <c r="R7" i="36"/>
  <c r="T23" i="21"/>
  <c r="H36" i="21"/>
  <c r="H36" i="20"/>
  <c r="R29" i="36"/>
  <c r="R32" i="36"/>
  <c r="R20" i="36"/>
  <c r="R17" i="36"/>
  <c r="R19" i="36"/>
  <c r="R30" i="36"/>
  <c r="R9" i="36"/>
  <c r="R22" i="36"/>
  <c r="R24" i="36"/>
  <c r="R21" i="36"/>
  <c r="H33" i="36"/>
  <c r="H35" i="36" s="1"/>
  <c r="R11" i="36"/>
  <c r="H33" i="24"/>
  <c r="H35" i="24" s="1"/>
  <c r="F8" i="28" s="1"/>
  <c r="R10" i="36"/>
  <c r="H33" i="27"/>
  <c r="R26" i="36"/>
  <c r="R28" i="36"/>
  <c r="R31" i="36"/>
  <c r="V8" i="27"/>
  <c r="G33" i="36"/>
  <c r="G35" i="36" s="1"/>
  <c r="R23" i="36"/>
  <c r="R18" i="36"/>
  <c r="R25" i="36"/>
  <c r="R12" i="36"/>
  <c r="F33" i="36"/>
  <c r="F35" i="36" s="1"/>
  <c r="T10" i="27"/>
  <c r="T13" i="27"/>
  <c r="K33" i="24"/>
  <c r="K35" i="24" s="1"/>
  <c r="I8" i="28" s="1"/>
  <c r="I42" i="34"/>
  <c r="N49" i="34"/>
  <c r="R12" i="27"/>
  <c r="V32" i="27"/>
  <c r="V23" i="27"/>
  <c r="Q33" i="24"/>
  <c r="Q35" i="24" s="1"/>
  <c r="O8" i="28" s="1"/>
  <c r="R30" i="27"/>
  <c r="L33" i="27"/>
  <c r="R28" i="27"/>
  <c r="R23" i="27"/>
  <c r="I38" i="36"/>
  <c r="V25" i="27"/>
  <c r="U30" i="27"/>
  <c r="T31" i="27"/>
  <c r="T24" i="27"/>
  <c r="U18" i="27"/>
  <c r="G33" i="27"/>
  <c r="R19" i="27"/>
  <c r="U17" i="27"/>
  <c r="V11" i="27"/>
  <c r="T29" i="27"/>
  <c r="T7" i="27"/>
  <c r="T14" i="27"/>
  <c r="T26" i="27"/>
  <c r="I38" i="24"/>
  <c r="T27" i="27"/>
  <c r="R11" i="27"/>
  <c r="R29" i="27"/>
  <c r="R26" i="27"/>
  <c r="R24" i="27"/>
  <c r="R31" i="27"/>
  <c r="R8" i="27"/>
  <c r="R18" i="27"/>
  <c r="R20" i="27"/>
  <c r="R21" i="27"/>
  <c r="R32" i="27"/>
  <c r="R13" i="27"/>
  <c r="R7" i="27"/>
  <c r="R15" i="27"/>
  <c r="R17" i="27"/>
  <c r="R25" i="27"/>
  <c r="R14" i="27"/>
  <c r="R10" i="27"/>
  <c r="R9" i="27"/>
  <c r="R27" i="27"/>
  <c r="R22" i="27"/>
  <c r="R16" i="27"/>
  <c r="N37" i="37"/>
  <c r="N37" i="35"/>
  <c r="P33" i="24"/>
  <c r="P35" i="24" s="1"/>
  <c r="N8" i="28" s="1"/>
  <c r="P33" i="27"/>
  <c r="O33" i="27"/>
  <c r="N37" i="34"/>
  <c r="A37" i="34"/>
  <c r="A38" i="34" s="1"/>
  <c r="A35" i="34"/>
  <c r="D39" i="34"/>
  <c r="D39" i="33"/>
  <c r="A35" i="33"/>
  <c r="N33" i="27"/>
  <c r="N33" i="24"/>
  <c r="N35" i="24" s="1"/>
  <c r="L8" i="28" s="1"/>
  <c r="N37" i="33"/>
  <c r="M33" i="24"/>
  <c r="M35" i="24" s="1"/>
  <c r="K8" i="28" s="1"/>
  <c r="N37" i="32"/>
  <c r="R28" i="23"/>
  <c r="R33" i="23" s="1"/>
  <c r="D39" i="32"/>
  <c r="A37" i="32"/>
  <c r="A38" i="32" s="1"/>
  <c r="A35" i="32"/>
  <c r="N37" i="31"/>
  <c r="L33" i="24"/>
  <c r="L35" i="24" s="1"/>
  <c r="J8" i="28" s="1"/>
  <c r="A37" i="30"/>
  <c r="A38" i="30" s="1"/>
  <c r="A35" i="30"/>
  <c r="V15" i="27"/>
  <c r="V21" i="27"/>
  <c r="J33" i="27"/>
  <c r="R21" i="24"/>
  <c r="J33" i="24"/>
  <c r="J35" i="24" s="1"/>
  <c r="H8" i="28" s="1"/>
  <c r="T32" i="27"/>
  <c r="U31" i="27"/>
  <c r="U26" i="27"/>
  <c r="T8" i="27"/>
  <c r="T9" i="27"/>
  <c r="U9" i="27"/>
  <c r="U32" i="27"/>
  <c r="V29" i="27"/>
  <c r="V9" i="27"/>
  <c r="V28" i="27"/>
  <c r="T21" i="27"/>
  <c r="U24" i="27"/>
  <c r="V18" i="27"/>
  <c r="T30" i="27"/>
  <c r="T18" i="27"/>
  <c r="V26" i="27"/>
  <c r="U28" i="27"/>
  <c r="V7" i="27"/>
  <c r="V12" i="27"/>
  <c r="U7" i="27"/>
  <c r="T28" i="27"/>
  <c r="U14" i="27"/>
  <c r="V16" i="27"/>
  <c r="U27" i="27"/>
  <c r="U16" i="27"/>
  <c r="T16" i="27"/>
  <c r="U11" i="27"/>
  <c r="V13" i="27"/>
  <c r="V14" i="27"/>
  <c r="V24" i="27"/>
  <c r="U29" i="27"/>
  <c r="T12" i="27"/>
  <c r="U13" i="27"/>
  <c r="V10" i="27"/>
  <c r="T15" i="27"/>
  <c r="V31" i="27"/>
  <c r="V27" i="27"/>
  <c r="T11" i="27"/>
  <c r="U22" i="27"/>
  <c r="T25" i="27"/>
  <c r="U25" i="27"/>
  <c r="S20" i="27"/>
  <c r="T17" i="27"/>
  <c r="U15" i="27"/>
  <c r="V30" i="27"/>
  <c r="U23" i="27"/>
  <c r="V17" i="27"/>
  <c r="U21" i="27"/>
  <c r="U8" i="27"/>
  <c r="T23" i="27"/>
  <c r="V22" i="27"/>
  <c r="S13" i="27"/>
  <c r="U20" i="27"/>
  <c r="T20" i="27"/>
  <c r="S8" i="27"/>
  <c r="V20" i="27"/>
  <c r="S26" i="27"/>
  <c r="F33" i="27"/>
  <c r="T22" i="27"/>
  <c r="S27" i="27"/>
  <c r="V19" i="27"/>
  <c r="S32" i="27"/>
  <c r="S19" i="27"/>
  <c r="T19" i="27"/>
  <c r="U12" i="27"/>
  <c r="U19" i="27"/>
  <c r="S9" i="27"/>
  <c r="U10" i="27"/>
  <c r="S31" i="27"/>
  <c r="S17" i="27"/>
  <c r="S30" i="27"/>
  <c r="S23" i="27"/>
  <c r="S12" i="27"/>
  <c r="S18" i="27"/>
  <c r="S11" i="27"/>
  <c r="S25" i="27"/>
  <c r="S22" i="27"/>
  <c r="S15" i="27"/>
  <c r="S14" i="27"/>
  <c r="S7" i="27"/>
  <c r="S16" i="27"/>
  <c r="S10" i="27"/>
  <c r="S21" i="27"/>
  <c r="S28" i="27"/>
  <c r="S29" i="27"/>
  <c r="S24" i="27"/>
  <c r="R27" i="24"/>
  <c r="I33" i="27"/>
  <c r="R30" i="24"/>
  <c r="R26" i="24"/>
  <c r="R14" i="24"/>
  <c r="R18" i="24"/>
  <c r="R12" i="24"/>
  <c r="R7" i="24"/>
  <c r="R10" i="24"/>
  <c r="I33" i="24"/>
  <c r="I35" i="24" s="1"/>
  <c r="G8" i="28" s="1"/>
  <c r="R13" i="24"/>
  <c r="R15" i="24"/>
  <c r="N36" i="21"/>
  <c r="T31" i="20"/>
  <c r="G36" i="23"/>
  <c r="G38" i="23" s="1"/>
  <c r="H35" i="23" s="1"/>
  <c r="H38" i="23" s="1"/>
  <c r="I35" i="23" s="1"/>
  <c r="R29" i="24"/>
  <c r="R17" i="24"/>
  <c r="I36" i="23"/>
  <c r="S30" i="22"/>
  <c r="R25" i="24"/>
  <c r="R28" i="24"/>
  <c r="R8" i="24"/>
  <c r="R24" i="24"/>
  <c r="R20" i="24"/>
  <c r="R32" i="24"/>
  <c r="Q52" i="19"/>
  <c r="R11" i="24"/>
  <c r="R16" i="24"/>
  <c r="R23" i="24"/>
  <c r="R19" i="24"/>
  <c r="R22" i="24"/>
  <c r="R31" i="24"/>
  <c r="G33" i="24"/>
  <c r="G35" i="24" s="1"/>
  <c r="E8" i="28" s="1"/>
  <c r="P10" i="20"/>
  <c r="P11" i="20"/>
  <c r="P16" i="20"/>
  <c r="P28" i="20"/>
  <c r="P9" i="20"/>
  <c r="P15" i="20"/>
  <c r="S20" i="16"/>
  <c r="P24" i="20"/>
  <c r="S14" i="16"/>
  <c r="P26" i="20"/>
  <c r="S8" i="16"/>
  <c r="S26" i="16"/>
  <c r="R33" i="16"/>
  <c r="R36" i="16" s="1"/>
  <c r="S9" i="16"/>
  <c r="S21" i="16"/>
  <c r="P25" i="20"/>
  <c r="P12" i="20"/>
  <c r="S24" i="16"/>
  <c r="S13" i="16"/>
  <c r="P32" i="20"/>
  <c r="S17" i="16"/>
  <c r="P20" i="20"/>
  <c r="S22" i="16"/>
  <c r="F33" i="24"/>
  <c r="F35" i="24" s="1"/>
  <c r="D8" i="28" s="1"/>
  <c r="R9" i="24"/>
  <c r="S30" i="16"/>
  <c r="S15" i="16"/>
  <c r="S29" i="16"/>
  <c r="S31" i="16"/>
  <c r="S27" i="16"/>
  <c r="S7" i="16"/>
  <c r="P23" i="20"/>
  <c r="S19" i="16"/>
  <c r="S18" i="16"/>
  <c r="I38" i="22"/>
  <c r="F37" i="22"/>
  <c r="N35" i="22"/>
  <c r="M35" i="22"/>
  <c r="P29" i="20"/>
  <c r="P14" i="20"/>
  <c r="N33" i="1"/>
  <c r="K40" i="1" s="1"/>
  <c r="N33" i="21"/>
  <c r="O33" i="21"/>
  <c r="N33" i="20"/>
  <c r="O33" i="20"/>
  <c r="AG21" i="19"/>
  <c r="AG42" i="19"/>
  <c r="AG44" i="19"/>
  <c r="AG45" i="19"/>
  <c r="AG46" i="19"/>
  <c r="AG47" i="19"/>
  <c r="AG43" i="19"/>
  <c r="AG48" i="19"/>
  <c r="AG41" i="19"/>
  <c r="AG38" i="19"/>
  <c r="AG29" i="19"/>
  <c r="AG28" i="19"/>
  <c r="AG40" i="19"/>
  <c r="AG39" i="19"/>
  <c r="AG27" i="19"/>
  <c r="AG26" i="19"/>
  <c r="AG25" i="19"/>
  <c r="AG20" i="19"/>
  <c r="AG24" i="19"/>
  <c r="AG51" i="19"/>
  <c r="AG23" i="19"/>
  <c r="AG50" i="19"/>
  <c r="AG22" i="19"/>
  <c r="AG49" i="19"/>
  <c r="N8" i="26"/>
  <c r="I33" i="16"/>
  <c r="M33" i="15"/>
  <c r="K7" i="26" s="1"/>
  <c r="K23" i="26" s="1"/>
  <c r="N33" i="15"/>
  <c r="L7" i="26" s="1"/>
  <c r="L23" i="26" s="1"/>
  <c r="P33" i="15"/>
  <c r="N7" i="26" s="1"/>
  <c r="N23" i="26" s="1"/>
  <c r="Q33" i="15"/>
  <c r="O7" i="26" s="1"/>
  <c r="O23" i="26" s="1"/>
  <c r="H33" i="15"/>
  <c r="O33" i="15"/>
  <c r="M7" i="26" s="1"/>
  <c r="M23" i="26" s="1"/>
  <c r="L33" i="15"/>
  <c r="J7" i="26" s="1"/>
  <c r="K33" i="15"/>
  <c r="I7" i="26" s="1"/>
  <c r="I23" i="26" s="1"/>
  <c r="P33" i="36" l="1"/>
  <c r="P35" i="36" s="1"/>
  <c r="J23" i="26"/>
  <c r="S45" i="22"/>
  <c r="R33" i="36"/>
  <c r="R35" i="36" s="1"/>
  <c r="J47" i="35"/>
  <c r="A35" i="35"/>
  <c r="I45" i="35"/>
  <c r="F7" i="26"/>
  <c r="F23" i="26" s="1"/>
  <c r="U33" i="27"/>
  <c r="I38" i="23"/>
  <c r="M8" i="26"/>
  <c r="M24" i="26" s="1"/>
  <c r="R33" i="27"/>
  <c r="N39" i="37" s="1"/>
  <c r="J37" i="24"/>
  <c r="S33" i="27"/>
  <c r="T33" i="27"/>
  <c r="V33" i="27"/>
  <c r="L8" i="26"/>
  <c r="L24" i="26" s="1"/>
  <c r="K8" i="26"/>
  <c r="K24" i="26" s="1"/>
  <c r="H8" i="26"/>
  <c r="H24" i="26" s="1"/>
  <c r="N24" i="26"/>
  <c r="J8" i="26"/>
  <c r="J24" i="26" s="1"/>
  <c r="I8" i="26"/>
  <c r="I24" i="26" s="1"/>
  <c r="F24" i="26"/>
  <c r="G24" i="26"/>
  <c r="Q15" i="26"/>
  <c r="Q17" i="26" s="1"/>
  <c r="T33" i="20"/>
  <c r="T28" i="21" s="1"/>
  <c r="T31" i="21" s="1"/>
  <c r="S29" i="22" s="1"/>
  <c r="S32" i="22" s="1"/>
  <c r="E17" i="26"/>
  <c r="F14" i="26" s="1"/>
  <c r="F17" i="26" s="1"/>
  <c r="G14" i="26" s="1"/>
  <c r="G17" i="26" s="1"/>
  <c r="H14" i="26" s="1"/>
  <c r="H17" i="26" s="1"/>
  <c r="I14" i="26" s="1"/>
  <c r="I17" i="26" s="1"/>
  <c r="J14" i="26" s="1"/>
  <c r="J17" i="26" s="1"/>
  <c r="K14" i="26" s="1"/>
  <c r="K17" i="26" s="1"/>
  <c r="L14" i="26" s="1"/>
  <c r="L17" i="26" s="1"/>
  <c r="M14" i="26" s="1"/>
  <c r="M17" i="26" s="1"/>
  <c r="N14" i="26" s="1"/>
  <c r="N17" i="26" s="1"/>
  <c r="O14" i="26" s="1"/>
  <c r="O17" i="26" s="1"/>
  <c r="AK62" i="19"/>
  <c r="R33" i="24"/>
  <c r="N36" i="20"/>
  <c r="N35" i="20"/>
  <c r="N35" i="21"/>
  <c r="N38" i="21"/>
  <c r="Q33" i="16"/>
  <c r="I33" i="15"/>
  <c r="M33" i="17"/>
  <c r="AG52" i="19"/>
  <c r="L33" i="16"/>
  <c r="L33" i="17"/>
  <c r="K33" i="16"/>
  <c r="R7" i="15"/>
  <c r="J33" i="15"/>
  <c r="H7" i="26" s="1"/>
  <c r="H23" i="26" s="1"/>
  <c r="J33" i="17"/>
  <c r="I33" i="17"/>
  <c r="H33" i="16"/>
  <c r="H33" i="17"/>
  <c r="G33" i="17"/>
  <c r="R31" i="15"/>
  <c r="R16" i="15"/>
  <c r="G33" i="15"/>
  <c r="R26" i="15"/>
  <c r="R21" i="15"/>
  <c r="R19" i="15"/>
  <c r="R20" i="15"/>
  <c r="R29" i="15"/>
  <c r="R9" i="15"/>
  <c r="R10" i="15"/>
  <c r="R23" i="15"/>
  <c r="R24" i="15"/>
  <c r="R14" i="15"/>
  <c r="R32" i="15"/>
  <c r="R27" i="15"/>
  <c r="R22" i="15"/>
  <c r="R17" i="15"/>
  <c r="R12" i="15"/>
  <c r="R30" i="15"/>
  <c r="R25" i="15"/>
  <c r="R15" i="15"/>
  <c r="R28" i="15"/>
  <c r="R18" i="15"/>
  <c r="R13" i="15"/>
  <c r="R8" i="15"/>
  <c r="R11" i="15"/>
  <c r="F33" i="15"/>
  <c r="D7" i="26" s="1"/>
  <c r="N33" i="17"/>
  <c r="O33" i="17"/>
  <c r="Q33" i="17"/>
  <c r="P33" i="17"/>
  <c r="K33" i="17"/>
  <c r="F33" i="17"/>
  <c r="N33" i="16"/>
  <c r="O33" i="16"/>
  <c r="M33" i="16"/>
  <c r="P33" i="16"/>
  <c r="G33" i="16"/>
  <c r="F33" i="16"/>
  <c r="G36" i="17" l="1"/>
  <c r="S29" i="29"/>
  <c r="S32" i="29" s="1"/>
  <c r="S44" i="30"/>
  <c r="S45" i="29"/>
  <c r="S56" i="29" s="1"/>
  <c r="I39" i="36"/>
  <c r="J47" i="37"/>
  <c r="A35" i="37"/>
  <c r="I45" i="37"/>
  <c r="E23" i="26"/>
  <c r="M36" i="17"/>
  <c r="N36" i="17"/>
  <c r="K36" i="17"/>
  <c r="P36" i="17"/>
  <c r="L36" i="17"/>
  <c r="Q36" i="17"/>
  <c r="I36" i="16"/>
  <c r="R35" i="24"/>
  <c r="P8" i="28" s="1"/>
  <c r="I39" i="24"/>
  <c r="O36" i="17"/>
  <c r="J36" i="17"/>
  <c r="G7" i="26"/>
  <c r="H36" i="17"/>
  <c r="I36" i="17"/>
  <c r="H36" i="16"/>
  <c r="G36" i="16"/>
  <c r="F36" i="16"/>
  <c r="S39" i="22"/>
  <c r="R17" i="26"/>
  <c r="D5" i="28" s="1"/>
  <c r="D23" i="26"/>
  <c r="V33" i="16"/>
  <c r="U33" i="16"/>
  <c r="S33" i="16"/>
  <c r="T33" i="16"/>
  <c r="H35" i="1"/>
  <c r="R33" i="15"/>
  <c r="R33" i="17"/>
  <c r="R36" i="17" s="1"/>
  <c r="S39" i="29" l="1"/>
  <c r="S32" i="30"/>
  <c r="S35" i="30" s="1"/>
  <c r="S44" i="31"/>
  <c r="S45" i="30"/>
  <c r="S47" i="30" s="1"/>
  <c r="Q7" i="26"/>
  <c r="R7" i="26" s="1"/>
  <c r="S35" i="24"/>
  <c r="S35" i="36"/>
  <c r="G23" i="26"/>
  <c r="Q23" i="26" s="1"/>
  <c r="AK6" i="19"/>
  <c r="H36" i="1"/>
  <c r="I37" i="1" s="1"/>
  <c r="S29" i="31" l="1"/>
  <c r="S32" i="31" s="1"/>
  <c r="S39" i="30"/>
  <c r="S44" i="32"/>
  <c r="S46" i="31"/>
  <c r="S39" i="31" l="1"/>
  <c r="S29" i="32"/>
  <c r="S32" i="32" s="1"/>
  <c r="S46" i="33"/>
  <c r="S46" i="32"/>
  <c r="J33" i="16"/>
  <c r="S39" i="32" l="1"/>
  <c r="S31" i="33"/>
  <c r="S34" i="33" s="1"/>
  <c r="S44" i="34"/>
  <c r="S48" i="33"/>
  <c r="J45" i="33"/>
  <c r="J46" i="33" s="1"/>
  <c r="J36" i="16"/>
  <c r="L36" i="16"/>
  <c r="N36" i="16"/>
  <c r="K36" i="16"/>
  <c r="Q36" i="16"/>
  <c r="P36" i="16"/>
  <c r="M36" i="16"/>
  <c r="O36" i="16"/>
  <c r="T17" i="1"/>
  <c r="R26" i="1" s="1"/>
  <c r="S41" i="33" l="1"/>
  <c r="S29" i="34"/>
  <c r="S32" i="34" s="1"/>
  <c r="D8" i="26"/>
  <c r="T43" i="1"/>
  <c r="T45" i="1" s="1"/>
  <c r="Q43" i="1" s="1"/>
  <c r="S44" i="35"/>
  <c r="J45" i="34"/>
  <c r="J46" i="34" s="1"/>
  <c r="S46" i="34"/>
  <c r="G33" i="1"/>
  <c r="L39" i="1" s="1"/>
  <c r="O33" i="1"/>
  <c r="F33" i="1"/>
  <c r="K39" i="1" s="1"/>
  <c r="G35" i="2"/>
  <c r="F35" i="2"/>
  <c r="F18" i="2"/>
  <c r="F38" i="2" s="1"/>
  <c r="G18" i="2"/>
  <c r="S39" i="34" l="1"/>
  <c r="S29" i="35"/>
  <c r="S32" i="35" s="1"/>
  <c r="G38" i="2"/>
  <c r="D24" i="26"/>
  <c r="D25" i="26" s="1"/>
  <c r="D9" i="26"/>
  <c r="E6" i="26" s="1"/>
  <c r="E22" i="26" s="1"/>
  <c r="S44" i="37"/>
  <c r="J48" i="35"/>
  <c r="J49" i="35" s="1"/>
  <c r="S46" i="35"/>
  <c r="F36" i="17"/>
  <c r="L40" i="1"/>
  <c r="R27" i="1"/>
  <c r="S29" i="37" l="1"/>
  <c r="S32" i="37" s="1"/>
  <c r="S39" i="37" s="1"/>
  <c r="S39" i="35"/>
  <c r="S46" i="37"/>
  <c r="J48" i="37"/>
  <c r="J49" i="37" s="1"/>
  <c r="T35" i="1"/>
  <c r="D27" i="26" s="1"/>
  <c r="D3" i="28" s="1"/>
  <c r="T24" i="20"/>
  <c r="T47" i="1" l="1"/>
  <c r="R51" i="19"/>
  <c r="R48" i="19"/>
  <c r="R41" i="19"/>
  <c r="R28" i="19"/>
  <c r="R43" i="19"/>
  <c r="R42" i="19"/>
  <c r="R37" i="19"/>
  <c r="R21" i="19"/>
  <c r="R24" i="19"/>
  <c r="R23" i="19"/>
  <c r="R47" i="19"/>
  <c r="R27" i="19"/>
  <c r="R29" i="19"/>
  <c r="R45" i="19"/>
  <c r="R40" i="19"/>
  <c r="R44" i="19"/>
  <c r="R39" i="19"/>
  <c r="R26" i="19"/>
  <c r="R25" i="19"/>
  <c r="R46" i="19"/>
  <c r="R22" i="19"/>
  <c r="R49" i="19"/>
  <c r="R38" i="19"/>
  <c r="R50" i="19"/>
  <c r="O8" i="26" l="1"/>
  <c r="O24" i="26" s="1"/>
  <c r="T26" i="20" l="1"/>
  <c r="T27" i="20" l="1"/>
  <c r="T22" i="21" s="1"/>
  <c r="E42" i="18"/>
  <c r="T25" i="21"/>
  <c r="T35" i="20"/>
  <c r="S41" i="20"/>
  <c r="S43" i="20" l="1"/>
  <c r="S45" i="20" s="1"/>
  <c r="H40" i="21"/>
  <c r="U38" i="21"/>
  <c r="S23" i="22"/>
  <c r="S26" i="22" s="1"/>
  <c r="S23" i="29" s="1"/>
  <c r="T33" i="21"/>
  <c r="S42" i="21" l="1"/>
  <c r="S35" i="22"/>
  <c r="S47" i="22" s="1"/>
  <c r="S26" i="29"/>
  <c r="S38" i="22"/>
  <c r="I39" i="22" s="1"/>
  <c r="S38" i="29" l="1"/>
  <c r="S35" i="29"/>
  <c r="S47" i="29" s="1"/>
  <c r="S37" i="22"/>
  <c r="S23" i="31" l="1"/>
  <c r="S26" i="31" s="1"/>
  <c r="S38" i="30"/>
  <c r="S37" i="29"/>
  <c r="S23" i="32" l="1"/>
  <c r="S26" i="32" s="1"/>
  <c r="S35" i="31"/>
  <c r="S38" i="31"/>
  <c r="S37" i="30"/>
  <c r="S35" i="32" l="1"/>
  <c r="S38" i="32"/>
  <c r="S25" i="33"/>
  <c r="S28" i="33" s="1"/>
  <c r="S48" i="31"/>
  <c r="S37" i="31"/>
  <c r="S48" i="32" l="1"/>
  <c r="S37" i="32"/>
  <c r="S37" i="33"/>
  <c r="S40" i="33"/>
  <c r="S23" i="34"/>
  <c r="S26" i="34" s="1"/>
  <c r="S50" i="33" l="1"/>
  <c r="S39" i="33"/>
  <c r="S38" i="34"/>
  <c r="S35" i="34"/>
  <c r="S23" i="35"/>
  <c r="S26" i="35" s="1"/>
  <c r="S37" i="34" l="1"/>
  <c r="S48" i="34"/>
  <c r="S35" i="35"/>
  <c r="S23" i="37"/>
  <c r="S26" i="37" s="1"/>
  <c r="S38" i="35"/>
  <c r="S38" i="37" l="1"/>
  <c r="S35" i="37"/>
  <c r="S48" i="35"/>
  <c r="S37" i="35"/>
  <c r="S37" i="37" l="1"/>
  <c r="S48" i="37"/>
  <c r="E24" i="26"/>
  <c r="Q24" i="26" s="1"/>
  <c r="Q25" i="26" s="1"/>
  <c r="E9" i="26"/>
  <c r="F6" i="26" s="1"/>
  <c r="Q26" i="18"/>
  <c r="Q36" i="18" s="1"/>
  <c r="Q40" i="18" s="1"/>
  <c r="AJ27" i="19"/>
  <c r="AJ37" i="19" s="1"/>
  <c r="M39" i="24" s="1"/>
  <c r="N39" i="24" s="1"/>
  <c r="E25" i="26" l="1"/>
  <c r="E27" i="26" s="1"/>
  <c r="E3" i="28" s="1"/>
  <c r="F22" i="26"/>
  <c r="F25" i="26" s="1"/>
  <c r="F27" i="26" s="1"/>
  <c r="F3" i="28" s="1"/>
  <c r="F9" i="26"/>
  <c r="G6" i="26" s="1"/>
  <c r="AJ40" i="19"/>
  <c r="R40" i="18"/>
  <c r="AK7" i="19"/>
  <c r="AK17" i="19"/>
  <c r="AK28" i="19"/>
  <c r="AK29" i="19"/>
  <c r="AK14" i="19"/>
  <c r="AK33" i="19"/>
  <c r="AK24" i="19"/>
  <c r="AK10" i="19"/>
  <c r="AK25" i="19"/>
  <c r="AK32" i="19"/>
  <c r="AK31" i="19"/>
  <c r="AK26" i="19"/>
  <c r="AK12" i="19"/>
  <c r="AJ39" i="19"/>
  <c r="AK11" i="19"/>
  <c r="AK37" i="19"/>
  <c r="AK18" i="19"/>
  <c r="AK15" i="19"/>
  <c r="AK27" i="19"/>
  <c r="AK16" i="19"/>
  <c r="AK20" i="19"/>
  <c r="AK23" i="19"/>
  <c r="AK8" i="19"/>
  <c r="AK21" i="19"/>
  <c r="AK19" i="19"/>
  <c r="AK35" i="19"/>
  <c r="AK9" i="19"/>
  <c r="AK34" i="19"/>
  <c r="AK22" i="19"/>
  <c r="AK13" i="19"/>
  <c r="AK30" i="19"/>
  <c r="Q8" i="26"/>
  <c r="G22" i="26" l="1"/>
  <c r="G25" i="26" s="1"/>
  <c r="G27" i="26" s="1"/>
  <c r="G3" i="28" s="1"/>
  <c r="G9" i="26"/>
  <c r="H6" i="26" s="1"/>
  <c r="Q9" i="26"/>
  <c r="R8" i="26"/>
  <c r="H9" i="26" l="1"/>
  <c r="I6" i="26" s="1"/>
  <c r="H22" i="26"/>
  <c r="H25" i="26" s="1"/>
  <c r="H27" i="26" s="1"/>
  <c r="H3" i="28" s="1"/>
  <c r="I22" i="26" l="1"/>
  <c r="I25" i="26" s="1"/>
  <c r="I27" i="26" s="1"/>
  <c r="I3" i="28" s="1"/>
  <c r="I9" i="26"/>
  <c r="J6" i="26" s="1"/>
  <c r="J9" i="26" l="1"/>
  <c r="K6" i="26" s="1"/>
  <c r="J22" i="26"/>
  <c r="J25" i="26" s="1"/>
  <c r="J27" i="26" s="1"/>
  <c r="J3" i="28" s="1"/>
  <c r="K9" i="26" l="1"/>
  <c r="L6" i="26" s="1"/>
  <c r="K22" i="26"/>
  <c r="K25" i="26" s="1"/>
  <c r="K27" i="26" s="1"/>
  <c r="K3" i="28" s="1"/>
  <c r="L9" i="26" l="1"/>
  <c r="M6" i="26" s="1"/>
  <c r="L22" i="26"/>
  <c r="L25" i="26" s="1"/>
  <c r="L27" i="26" s="1"/>
  <c r="L3" i="28" s="1"/>
  <c r="M22" i="26" l="1"/>
  <c r="M25" i="26" s="1"/>
  <c r="M27" i="26" s="1"/>
  <c r="M3" i="28" s="1"/>
  <c r="M9" i="26"/>
  <c r="N6" i="26" s="1"/>
  <c r="N9" i="26" l="1"/>
  <c r="O6" i="26" s="1"/>
  <c r="N22" i="26"/>
  <c r="N25" i="26" s="1"/>
  <c r="N27" i="26" s="1"/>
  <c r="N3" i="28" s="1"/>
  <c r="R6" i="26" l="1"/>
  <c r="O22" i="26"/>
  <c r="O25" i="26" s="1"/>
  <c r="O9" i="26"/>
  <c r="R9" i="26" s="1"/>
  <c r="D4" i="28" s="1"/>
  <c r="R25" i="26" l="1"/>
  <c r="D6" i="28" s="1"/>
  <c r="O27" i="26"/>
  <c r="O3" i="28" s="1"/>
  <c r="D52" i="19" l="1"/>
  <c r="J52" i="19"/>
  <c r="O52" i="19"/>
  <c r="L52" i="19"/>
  <c r="G52" i="19"/>
  <c r="F52" i="19"/>
  <c r="I52" i="19"/>
  <c r="H52" i="19"/>
  <c r="E52" i="19"/>
  <c r="M52" i="19"/>
  <c r="K52" i="19"/>
  <c r="N5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tc={74F2A0F8-2C51-451C-8E33-6F683EB2C34C}</author>
  </authors>
  <commentList>
    <comment ref="E7" authorId="0" shapeId="0" xr:uid="{74F2A0F8-2C51-451C-8E33-6F683EB2C34C}">
      <text>
        <t>[Threaded comment]
Your version of Excel allows you to read this threaded comment; however, any edits to it will get removed if the file is opened in a newer version of Excel. Learn more: https://go.microsoft.com/fwlink/?linkid=870924
Comment:
    تصوير افلام 3000 جنيه</t>
      </text>
    </comment>
  </commentList>
</comments>
</file>

<file path=xl/sharedStrings.xml><?xml version="1.0" encoding="utf-8"?>
<sst xmlns="http://schemas.openxmlformats.org/spreadsheetml/2006/main" count="2137" uniqueCount="243">
  <si>
    <t xml:space="preserve">يناير </t>
  </si>
  <si>
    <t>فبراير</t>
  </si>
  <si>
    <t>مارس</t>
  </si>
  <si>
    <t>ابريل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</si>
  <si>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</si>
  <si>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</si>
  <si>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</si>
  <si>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</si>
  <si>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</si>
  <si>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</si>
  <si>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</si>
  <si>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</si>
  <si>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</si>
  <si>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Summary Sheet</t>
  </si>
  <si>
    <t>Annual Income (Combined)</t>
  </si>
  <si>
    <t>حســـــــــــــــــــــــــــــــــــــــــــــاب الصيــــــــــــــــــــــــــــــــــــــانة</t>
  </si>
  <si>
    <t>م</t>
  </si>
  <si>
    <t>المبلغ</t>
  </si>
  <si>
    <t>Check Formula</t>
  </si>
  <si>
    <t>فائض مرحل</t>
  </si>
  <si>
    <t>إيرادات الشهر</t>
  </si>
  <si>
    <t>مصروفات الشهر</t>
  </si>
  <si>
    <t>الرصيــــــــــــــــد</t>
  </si>
  <si>
    <t>حســـــــــــــــــــــــــــــــــــــــــــــاب الاسانسير</t>
  </si>
  <si>
    <t>حســـــــــــــــــــــــــــــــــــــــــــــاب مجمع (الصيانة + الاسانسير)</t>
  </si>
  <si>
    <t>عمارة 14 بالم الزهراء - الشطر السابع</t>
  </si>
  <si>
    <t>الاسم</t>
  </si>
  <si>
    <t>الشقة</t>
  </si>
  <si>
    <t>الإجمالي</t>
  </si>
  <si>
    <t>مريم اسحاق</t>
  </si>
  <si>
    <t>A1</t>
  </si>
  <si>
    <t>A2</t>
  </si>
  <si>
    <t>ناريمان ظريف</t>
  </si>
  <si>
    <t>B1</t>
  </si>
  <si>
    <t>هند صادق</t>
  </si>
  <si>
    <t>B2</t>
  </si>
  <si>
    <t>شريف جداره</t>
  </si>
  <si>
    <t>A11</t>
  </si>
  <si>
    <t>سامح السعيد</t>
  </si>
  <si>
    <t>A12</t>
  </si>
  <si>
    <t>احمد يونس</t>
  </si>
  <si>
    <t>A13</t>
  </si>
  <si>
    <t>محمد ابو بكر</t>
  </si>
  <si>
    <t>B11</t>
  </si>
  <si>
    <t>خالد خشبه</t>
  </si>
  <si>
    <t>B12</t>
  </si>
  <si>
    <t>خالد عبد الصمد</t>
  </si>
  <si>
    <t>B13</t>
  </si>
  <si>
    <t>أشرف علوي</t>
  </si>
  <si>
    <t>A21</t>
  </si>
  <si>
    <t>ايهاب محمود</t>
  </si>
  <si>
    <t>A23</t>
  </si>
  <si>
    <t>أسامه حسين</t>
  </si>
  <si>
    <t>B21</t>
  </si>
  <si>
    <t>عمرو حسين</t>
  </si>
  <si>
    <t>B22</t>
  </si>
  <si>
    <t>محمد هلال</t>
  </si>
  <si>
    <t>B23</t>
  </si>
  <si>
    <t>وجدي محروس</t>
  </si>
  <si>
    <t>A31</t>
  </si>
  <si>
    <t>عمرو عبدالرازق</t>
  </si>
  <si>
    <t>A32</t>
  </si>
  <si>
    <t>المرسي ابو العباس</t>
  </si>
  <si>
    <t>A33</t>
  </si>
  <si>
    <t>ابراهيم محمد</t>
  </si>
  <si>
    <t>B31</t>
  </si>
  <si>
    <t>كريم حسين</t>
  </si>
  <si>
    <t>B32</t>
  </si>
  <si>
    <t>هناء سلامه</t>
  </si>
  <si>
    <t>B33</t>
  </si>
  <si>
    <t>علي محمد نور الدين</t>
  </si>
  <si>
    <t>A41</t>
  </si>
  <si>
    <t>محمد شاكر</t>
  </si>
  <si>
    <t>A43</t>
  </si>
  <si>
    <t>محمد السيسي</t>
  </si>
  <si>
    <t>B41</t>
  </si>
  <si>
    <t>حسام رياض</t>
  </si>
  <si>
    <t>B42</t>
  </si>
  <si>
    <t>ساره عادل</t>
  </si>
  <si>
    <t>B43</t>
  </si>
  <si>
    <t>الإجـــــــــــــــــــــــــــــــــــــــــــــــــــــــــــــــــــــمالي</t>
  </si>
  <si>
    <t>بيان</t>
  </si>
  <si>
    <t>راتب الحارس</t>
  </si>
  <si>
    <t>فاتورة مياة</t>
  </si>
  <si>
    <t>كهرباء</t>
  </si>
  <si>
    <t>غيار ممسحة</t>
  </si>
  <si>
    <t>اجرة الجنايني</t>
  </si>
  <si>
    <t>تصليح بوابه الجراج</t>
  </si>
  <si>
    <t>مستلزمات نظافة</t>
  </si>
  <si>
    <t>تصليح انتركم</t>
  </si>
  <si>
    <t>مبيد حشري للحديقه الاماميه</t>
  </si>
  <si>
    <t>دهان السلالم</t>
  </si>
  <si>
    <t xml:space="preserve">عيديه صلاح </t>
  </si>
  <si>
    <t xml:space="preserve">تركيب وفك زينه رمضان </t>
  </si>
  <si>
    <t>شراء لمبات</t>
  </si>
  <si>
    <t xml:space="preserve">تصليح موتور المياه </t>
  </si>
  <si>
    <t>عيدية البواب</t>
  </si>
  <si>
    <t>مبيد حشري لرش العماره ضد الصراصير</t>
  </si>
  <si>
    <t>لزوم سقايه الحديقه الاماميه
 و الخلفيه في العيد</t>
  </si>
  <si>
    <t>رخام السلم (صدادات)</t>
  </si>
  <si>
    <t>نظافه الخزانات</t>
  </si>
  <si>
    <t>تغيير عدد 2 رشاش الحديقه الاماميه</t>
  </si>
  <si>
    <t>شراء عدد 2 غطاء بلاعه للحديقه الاماميه</t>
  </si>
  <si>
    <t>دفتر ايصالات</t>
  </si>
  <si>
    <t>تصليح باب الجراج (مقبض)</t>
  </si>
  <si>
    <t>ايرادات الشهر الجاري</t>
  </si>
  <si>
    <t>ايرادات الأسانسير</t>
  </si>
  <si>
    <t>مدفوع صيانه</t>
  </si>
  <si>
    <t>مدفوع اسانسير</t>
  </si>
  <si>
    <t xml:space="preserve"> الصيانة مستحقة سابقا</t>
  </si>
  <si>
    <t>م. اسانسير مستحقة سابقا</t>
  </si>
  <si>
    <t>اجمالي  الصيانة المستحقة</t>
  </si>
  <si>
    <t>اجمالي م. اسانسير المستحقة</t>
  </si>
  <si>
    <t>المستند</t>
  </si>
  <si>
    <t>إيصال</t>
  </si>
  <si>
    <t xml:space="preserve">فاتورة مياة </t>
  </si>
  <si>
    <t>فاتورة</t>
  </si>
  <si>
    <t>حســـــــــــــــــــــــــــــــــــــــــــــاب ختامـــــــــــي</t>
  </si>
  <si>
    <t>بيان الاسانسير</t>
  </si>
  <si>
    <t xml:space="preserve">إيرادات الشهر الجارى </t>
  </si>
  <si>
    <t xml:space="preserve">مصروفات الشهر الجارى </t>
  </si>
  <si>
    <t>الإجمالي (صيانة + اسانسير)</t>
  </si>
  <si>
    <t>فاتورة مياة شهر مايو</t>
  </si>
  <si>
    <t xml:space="preserve">زينه رمضان </t>
  </si>
  <si>
    <t>عيديه</t>
  </si>
  <si>
    <t>فك زينه</t>
  </si>
  <si>
    <t>نظافة</t>
  </si>
  <si>
    <t>عموله تحويل</t>
  </si>
  <si>
    <t>شراء لمبات المدخل وتركيب 100 ج</t>
  </si>
  <si>
    <t>بيان صيانة</t>
  </si>
  <si>
    <t>مصطفى عبد الصبور</t>
  </si>
  <si>
    <t>العهـــــدة</t>
  </si>
  <si>
    <t>رصيد متوفر مع ا/ إيهاب مهدي</t>
  </si>
  <si>
    <t>رصيد متوفر مع ا/ إبراهيم محمد</t>
  </si>
  <si>
    <t>الفــــرق</t>
  </si>
  <si>
    <t>كشف مستحقات صيانه 2024</t>
  </si>
  <si>
    <t>Percentage</t>
  </si>
  <si>
    <t>كشف مصروفات شهر ديسمبر 2024</t>
  </si>
  <si>
    <t>total</t>
  </si>
  <si>
    <t>%</t>
  </si>
  <si>
    <t>January</t>
  </si>
  <si>
    <t>February</t>
  </si>
  <si>
    <t>March</t>
  </si>
  <si>
    <t>April</t>
  </si>
  <si>
    <t xml:space="preserve">مرتب البواب </t>
  </si>
  <si>
    <t>تصليح موتور المياه شراء عدد 2 بالونه تيوبليس</t>
  </si>
  <si>
    <t>شراء عدد 2 سله قمامه</t>
  </si>
  <si>
    <t>شراء 30 متر خرطوم لزوم الحديقه</t>
  </si>
  <si>
    <t>تركيب زينه رمضان 2024</t>
  </si>
  <si>
    <t>شراء كومبوست للحديقه الاماميه</t>
  </si>
  <si>
    <t>تفاصيل بند أخري</t>
  </si>
  <si>
    <t>ألمبلغ</t>
  </si>
  <si>
    <t>شراء معطر الارضيه</t>
  </si>
  <si>
    <t xml:space="preserve">مقابل ازاله مخلفات عمليه جز الاشجار </t>
  </si>
  <si>
    <t>مصاريف مستحقة أخري</t>
  </si>
  <si>
    <t>مصاريف الصيانة المستحقة</t>
  </si>
  <si>
    <t>عماد حازم</t>
  </si>
  <si>
    <t>ادوارد مراد</t>
  </si>
  <si>
    <t>الإجـــــــــــــــــــــــــــــــــــــــــــــــــــــــــــــــــــــمالي  لمدخل ( A)</t>
  </si>
  <si>
    <t>محمد حسن</t>
  </si>
  <si>
    <t>أحمد محمود</t>
  </si>
  <si>
    <t>مجدي هلال</t>
  </si>
  <si>
    <t>الإجـــــــــــــــــــــــــــــــــــــــــــــــــــــــــــــــــــــمالي  لمدخل ( B)</t>
  </si>
  <si>
    <t>الإجـــــــــــــــــــــــــــــــــــــــــــــــــــــــــــــــــــــمالي بالكــــــــــــــــامل</t>
  </si>
  <si>
    <t>الاسانسير</t>
  </si>
  <si>
    <t>عيدية صلاح</t>
  </si>
  <si>
    <t>مايو</t>
  </si>
  <si>
    <t>يونيو</t>
  </si>
  <si>
    <t>مواسير رى الجنينة</t>
  </si>
  <si>
    <t>مي اسامة</t>
  </si>
  <si>
    <t>نقل مخلفات الجنينة</t>
  </si>
  <si>
    <t xml:space="preserve">شفرات الاسانسير </t>
  </si>
  <si>
    <t>d</t>
  </si>
  <si>
    <t>فيشر ومصنعيه مواسير</t>
  </si>
  <si>
    <t>لوحة العمارة</t>
  </si>
  <si>
    <t>يوليو</t>
  </si>
  <si>
    <t>اغسطس</t>
  </si>
  <si>
    <t>سبتمبر</t>
  </si>
  <si>
    <t>اكتوبر</t>
  </si>
  <si>
    <t>نوفمبر</t>
  </si>
  <si>
    <t>ديسمبر</t>
  </si>
  <si>
    <t>مدام اميرة</t>
  </si>
  <si>
    <t>جهاز شفرات الاسانسير B ,مروحة اسانسير B</t>
  </si>
  <si>
    <t>رصيد الصندوق الإجمالي (صيانة + اسانسير)</t>
  </si>
  <si>
    <t>الصندوق</t>
  </si>
  <si>
    <t>ملاحظة : رصيد موجب يعني "مدفوع مقدما"</t>
  </si>
  <si>
    <t>لمبات ومصنعية للسور الخلفي</t>
  </si>
  <si>
    <t>لمبات اسانسير A</t>
  </si>
  <si>
    <t>2 طلمبة باب جراج +مفاتيح +مصنعية</t>
  </si>
  <si>
    <t>انتركم + مصنعية</t>
  </si>
  <si>
    <t>مبيدات</t>
  </si>
  <si>
    <t>غسيل خزانات</t>
  </si>
  <si>
    <t>لمبات</t>
  </si>
  <si>
    <t>تصليح باب سيكيوريت</t>
  </si>
  <si>
    <t>وليد مدحت</t>
  </si>
  <si>
    <t>صيانة مواتير</t>
  </si>
  <si>
    <t>لوازم الجنينة</t>
  </si>
  <si>
    <t>تصليح عداد المياه</t>
  </si>
  <si>
    <t>كشف ايرادات ومصروفات شهر يناير 2026</t>
  </si>
  <si>
    <t>كشف مصروفات شهر يناير 2026</t>
  </si>
  <si>
    <t>كشف ايرادات المحمع من يناير الي  شهر ديسمبر 2026</t>
  </si>
  <si>
    <t>كشف مصروفات 2026</t>
  </si>
  <si>
    <t>إيرادات شهر يناير 2026</t>
  </si>
  <si>
    <t>مصروفات شهر يناير 2026</t>
  </si>
  <si>
    <t>كشف ايرادات ومصروفات شهر فبراير 2026</t>
  </si>
  <si>
    <t>كشف مصروفات شهر فبراير 2026</t>
  </si>
  <si>
    <t>كشف ايرادات ومصروفات شهر مارس 2026</t>
  </si>
  <si>
    <t>كشف مصروفات شهر مارس 2026</t>
  </si>
  <si>
    <t>إيرادات شهر  مارس 2026</t>
  </si>
  <si>
    <t>مصروفات شهر  مارس 2026</t>
  </si>
  <si>
    <t>كشف ايرادات ومصروفات شهر ابريل 2026</t>
  </si>
  <si>
    <t>كشف مصروفات شهر ابريل 2026</t>
  </si>
  <si>
    <t>كشف ايرادات ومصروفات شهر مايو 2026</t>
  </si>
  <si>
    <t>كشف مصروفات شهر مايو 2026</t>
  </si>
  <si>
    <t>كشف ايرادات ومصروفات شهر يونيو 2026</t>
  </si>
  <si>
    <t>كشف مصروفات شهر يونيو 2026</t>
  </si>
  <si>
    <t>كشف ايرادات ومصروفات شهر يوليو 2026</t>
  </si>
  <si>
    <t>كشف مصروفات شهر يوليو 2026</t>
  </si>
  <si>
    <t>كشف ايرادات ومصروفات شهر اغسطس 2026</t>
  </si>
  <si>
    <t>كشف مصروفات شهر اغسطس 2026</t>
  </si>
  <si>
    <t>كشف ايرادات ومصروفات شهر سبتمبر 2026</t>
  </si>
  <si>
    <t>كشف مصروفات شهر سبتمبر 2026</t>
  </si>
  <si>
    <t>كشف ايرادات ومصروفات شهر اكتوبر 2026</t>
  </si>
  <si>
    <t>كشف مصروفات شهر اكتوبر 2026</t>
  </si>
  <si>
    <t>كشف ايرادات ومصروفات شهر نوفمبر 2026</t>
  </si>
  <si>
    <t>كشف مصروفات شهر نوفمبر 2026</t>
  </si>
  <si>
    <t>كشف ايرادات ومصروفات شهر ديسمبر 2026</t>
  </si>
  <si>
    <t>كشف مصروفات شهر ديسمبر  2026</t>
  </si>
  <si>
    <t>كشف ايرادات الاسانسيرمن يناير الي  شهر ديسمبر 2026</t>
  </si>
  <si>
    <t>كشف إيرادات صيانة العمارة من يناير الي  شهر ديسمبر 2026</t>
  </si>
  <si>
    <t>كشف الأسانسير 2026</t>
  </si>
  <si>
    <t>كشف مستحقات صيانه 2026</t>
  </si>
  <si>
    <t>جركن زيت للاسانسير</t>
  </si>
  <si>
    <t>منظفات</t>
  </si>
  <si>
    <t>ترنس</t>
  </si>
  <si>
    <t>فاتورة مياة شهر فبراير</t>
  </si>
  <si>
    <t xml:space="preserve"> اوتوماتيك للماتور+بالونة موتور + تركيب</t>
  </si>
  <si>
    <t>شفرات اسانسير</t>
  </si>
  <si>
    <t>باج جراج + سيكوريت</t>
  </si>
  <si>
    <t>مصاريف موتور المياه</t>
  </si>
  <si>
    <t>نتصليح موتور الغاطس الجراج</t>
  </si>
  <si>
    <t>انتركم</t>
  </si>
  <si>
    <t>مبيدات رش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</si>
</sst>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8"/>
      <color theme="0"/>
      <name val="Times New Roman"/>
      <family val="1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Arial"/>
      <family val="2"/>
    </font>
    <font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8"/>
      <color theme="0"/>
      <name val="Arial"/>
      <family val="2"/>
    </font>
    <font>
      <b/>
      <u/>
      <sz val="16"/>
      <color theme="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u/>
      <sz val="2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b/>
      <u/>
      <sz val="20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164" fontId="2" fillId="0" borderId="3" xfId="1" applyNumberFormat="1" applyFont="1" applyBorder="1" applyAlignment="1">
      <alignment vertical="center" wrapText="1"/>
    </xf>
    <xf numFmtId="164" fontId="2" fillId="0" borderId="4" xfId="1" applyNumberFormat="1" applyFont="1" applyBorder="1" applyAlignment="1">
      <alignment vertical="center" wrapText="1"/>
    </xf>
    <xf numFmtId="164" fontId="3" fillId="0" borderId="3" xfId="1" applyNumberFormat="1" applyFont="1" applyBorder="1" applyAlignment="1">
      <alignment vertical="center" wrapText="1"/>
    </xf>
    <xf numFmtId="164" fontId="3" fillId="0" borderId="4" xfId="1" applyNumberFormat="1" applyFont="1" applyBorder="1" applyAlignment="1">
      <alignment vertical="center" wrapText="1"/>
    </xf>
    <xf numFmtId="164" fontId="2" fillId="0" borderId="5" xfId="1" applyNumberFormat="1" applyFont="1" applyBorder="1" applyAlignment="1">
      <alignment vertical="center" wrapText="1"/>
    </xf>
    <xf numFmtId="164" fontId="3" fillId="0" borderId="6" xfId="1" applyNumberFormat="1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readingOrder="2"/>
    </xf>
    <xf numFmtId="0" fontId="4" fillId="0" borderId="6" xfId="0" applyFont="1" applyBorder="1" applyAlignment="1">
      <alignment horizontal="right" vertical="center" readingOrder="2"/>
    </xf>
    <xf numFmtId="0" fontId="5" fillId="0" borderId="6" xfId="0" applyFont="1" applyBorder="1" applyAlignment="1">
      <alignment horizontal="right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center" vertical="center" wrapText="1" readingOrder="2"/>
    </xf>
    <xf numFmtId="0" fontId="5" fillId="3" borderId="4" xfId="0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 readingOrder="2"/>
    </xf>
    <xf numFmtId="0" fontId="8" fillId="4" borderId="2" xfId="0" applyFont="1" applyFill="1" applyBorder="1" applyAlignment="1">
      <alignment horizontal="center" vertical="center" wrapText="1" readingOrder="2"/>
    </xf>
    <xf numFmtId="0" fontId="11" fillId="0" borderId="13" xfId="0" applyFont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 wrapText="1" readingOrder="2"/>
    </xf>
    <xf numFmtId="0" fontId="8" fillId="4" borderId="14" xfId="0" applyFont="1" applyFill="1" applyBorder="1" applyAlignment="1">
      <alignment horizontal="center" vertical="center" wrapText="1" readingOrder="2"/>
    </xf>
    <xf numFmtId="0" fontId="8" fillId="4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 readingOrder="2"/>
    </xf>
    <xf numFmtId="164" fontId="9" fillId="4" borderId="3" xfId="1" applyNumberFormat="1" applyFont="1" applyFill="1" applyBorder="1" applyAlignment="1">
      <alignment vertical="center" wrapText="1"/>
    </xf>
    <xf numFmtId="164" fontId="0" fillId="0" borderId="0" xfId="0" applyNumberFormat="1"/>
    <xf numFmtId="3" fontId="11" fillId="0" borderId="13" xfId="0" applyNumberFormat="1" applyFont="1" applyBorder="1" applyAlignment="1">
      <alignment horizontal="center" vertical="center"/>
    </xf>
    <xf numFmtId="38" fontId="11" fillId="0" borderId="13" xfId="0" applyNumberFormat="1" applyFont="1" applyBorder="1" applyAlignment="1">
      <alignment horizontal="center" vertical="center"/>
    </xf>
    <xf numFmtId="43" fontId="11" fillId="0" borderId="13" xfId="1" applyFont="1" applyBorder="1" applyAlignment="1">
      <alignment horizontal="center" vertical="center"/>
    </xf>
    <xf numFmtId="38" fontId="8" fillId="4" borderId="2" xfId="1" applyNumberFormat="1" applyFont="1" applyFill="1" applyBorder="1" applyAlignment="1">
      <alignment horizontal="center" vertical="center" wrapText="1" readingOrder="2"/>
    </xf>
    <xf numFmtId="164" fontId="0" fillId="0" borderId="0" xfId="1" applyNumberFormat="1" applyFont="1"/>
    <xf numFmtId="164" fontId="4" fillId="0" borderId="13" xfId="1" applyNumberFormat="1" applyFont="1" applyFill="1" applyBorder="1" applyAlignment="1">
      <alignment horizontal="center" vertical="center" wrapText="1"/>
    </xf>
    <xf numFmtId="3" fontId="11" fillId="0" borderId="15" xfId="0" applyNumberFormat="1" applyFont="1" applyBorder="1" applyAlignment="1">
      <alignment horizontal="center" vertical="center"/>
    </xf>
    <xf numFmtId="38" fontId="11" fillId="0" borderId="15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43" fontId="8" fillId="4" borderId="9" xfId="1" applyFont="1" applyFill="1" applyBorder="1" applyAlignment="1">
      <alignment horizontal="center" vertical="center" wrapText="1" readingOrder="2"/>
    </xf>
    <xf numFmtId="164" fontId="8" fillId="4" borderId="9" xfId="1" applyNumberFormat="1" applyFont="1" applyFill="1" applyBorder="1" applyAlignment="1">
      <alignment horizontal="center" vertical="center" wrapText="1" readingOrder="2"/>
    </xf>
    <xf numFmtId="38" fontId="11" fillId="0" borderId="13" xfId="1" applyNumberFormat="1" applyFont="1" applyBorder="1" applyAlignment="1">
      <alignment horizontal="center" vertical="center"/>
    </xf>
    <xf numFmtId="38" fontId="11" fillId="0" borderId="13" xfId="1" applyNumberFormat="1" applyFont="1" applyFill="1" applyBorder="1" applyAlignment="1">
      <alignment horizontal="center" vertical="center"/>
    </xf>
    <xf numFmtId="43" fontId="11" fillId="0" borderId="13" xfId="1" applyFont="1" applyFill="1" applyBorder="1" applyAlignment="1">
      <alignment horizontal="center" vertical="center"/>
    </xf>
    <xf numFmtId="0" fontId="7" fillId="4" borderId="0" xfId="0" applyFont="1" applyFill="1"/>
    <xf numFmtId="0" fontId="0" fillId="0" borderId="0" xfId="0" applyAlignment="1">
      <alignment horizontal="center"/>
    </xf>
    <xf numFmtId="37" fontId="8" fillId="4" borderId="2" xfId="0" applyNumberFormat="1" applyFont="1" applyFill="1" applyBorder="1" applyAlignment="1">
      <alignment horizontal="center" vertical="center" wrapText="1" readingOrder="2"/>
    </xf>
    <xf numFmtId="38" fontId="8" fillId="4" borderId="12" xfId="0" applyNumberFormat="1" applyFont="1" applyFill="1" applyBorder="1" applyAlignment="1">
      <alignment horizontal="center" vertical="center" wrapText="1" readingOrder="2"/>
    </xf>
    <xf numFmtId="37" fontId="8" fillId="4" borderId="12" xfId="0" applyNumberFormat="1" applyFont="1" applyFill="1" applyBorder="1" applyAlignment="1">
      <alignment horizontal="center" vertical="center" wrapText="1" readingOrder="2"/>
    </xf>
    <xf numFmtId="38" fontId="0" fillId="0" borderId="0" xfId="0" applyNumberFormat="1" applyAlignment="1">
      <alignment horizontal="center"/>
    </xf>
    <xf numFmtId="9" fontId="11" fillId="0" borderId="0" xfId="2" applyFont="1" applyAlignment="1">
      <alignment horizontal="center"/>
    </xf>
    <xf numFmtId="0" fontId="13" fillId="4" borderId="2" xfId="0" applyFont="1" applyFill="1" applyBorder="1" applyAlignment="1">
      <alignment horizontal="center" vertical="center" wrapText="1" readingOrder="2"/>
    </xf>
    <xf numFmtId="9" fontId="0" fillId="0" borderId="0" xfId="2" applyFont="1"/>
    <xf numFmtId="9" fontId="11" fillId="0" borderId="13" xfId="2" applyFont="1" applyBorder="1" applyAlignment="1">
      <alignment horizontal="center" vertical="center"/>
    </xf>
    <xf numFmtId="9" fontId="8" fillId="4" borderId="2" xfId="2" applyFont="1" applyFill="1" applyBorder="1" applyAlignment="1">
      <alignment horizontal="center" vertical="center" wrapText="1" readingOrder="2"/>
    </xf>
    <xf numFmtId="38" fontId="11" fillId="6" borderId="13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4" borderId="2" xfId="0" applyFont="1" applyFill="1" applyBorder="1" applyAlignment="1">
      <alignment horizontal="center" vertical="center" wrapText="1" readingOrder="2"/>
    </xf>
    <xf numFmtId="0" fontId="16" fillId="0" borderId="13" xfId="0" applyFont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38" fontId="0" fillId="0" borderId="0" xfId="0" applyNumberFormat="1"/>
    <xf numFmtId="3" fontId="0" fillId="0" borderId="0" xfId="0" applyNumberFormat="1"/>
    <xf numFmtId="164" fontId="4" fillId="0" borderId="0" xfId="1" applyNumberFormat="1" applyFont="1" applyFill="1" applyBorder="1" applyAlignment="1">
      <alignment horizontal="center" vertical="center" wrapText="1"/>
    </xf>
    <xf numFmtId="0" fontId="0" fillId="7" borderId="0" xfId="0" applyFill="1"/>
    <xf numFmtId="38" fontId="11" fillId="5" borderId="13" xfId="0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 readingOrder="2"/>
    </xf>
    <xf numFmtId="0" fontId="18" fillId="4" borderId="2" xfId="0" applyFont="1" applyFill="1" applyBorder="1" applyAlignment="1">
      <alignment horizontal="center" vertical="center" wrapText="1" readingOrder="2"/>
    </xf>
    <xf numFmtId="0" fontId="18" fillId="4" borderId="1" xfId="0" applyFont="1" applyFill="1" applyBorder="1" applyAlignment="1">
      <alignment horizontal="center" vertical="center" wrapText="1" readingOrder="2"/>
    </xf>
    <xf numFmtId="164" fontId="18" fillId="4" borderId="2" xfId="1" applyNumberFormat="1" applyFont="1" applyFill="1" applyBorder="1" applyAlignment="1">
      <alignment horizontal="center" vertical="center" wrapText="1" readingOrder="2"/>
    </xf>
    <xf numFmtId="164" fontId="4" fillId="5" borderId="13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 wrapText="1" readingOrder="2"/>
    </xf>
    <xf numFmtId="0" fontId="8" fillId="4" borderId="0" xfId="0" applyFont="1" applyFill="1" applyAlignment="1">
      <alignment horizontal="center" vertical="center" wrapText="1" readingOrder="2"/>
    </xf>
    <xf numFmtId="0" fontId="13" fillId="4" borderId="0" xfId="0" applyFont="1" applyFill="1" applyAlignment="1">
      <alignment horizontal="center" vertical="center" wrapText="1" readingOrder="2"/>
    </xf>
    <xf numFmtId="164" fontId="9" fillId="4" borderId="10" xfId="1" applyNumberFormat="1" applyFont="1" applyFill="1" applyBorder="1" applyAlignment="1">
      <alignment vertical="center" wrapText="1"/>
    </xf>
    <xf numFmtId="164" fontId="4" fillId="8" borderId="13" xfId="1" applyNumberFormat="1" applyFont="1" applyFill="1" applyBorder="1" applyAlignment="1">
      <alignment horizontal="center" vertical="center" wrapText="1"/>
    </xf>
    <xf numFmtId="164" fontId="4" fillId="0" borderId="13" xfId="1" applyNumberFormat="1" applyFont="1" applyFill="1" applyBorder="1" applyAlignment="1">
      <alignment vertical="center" wrapText="1"/>
    </xf>
    <xf numFmtId="38" fontId="4" fillId="0" borderId="16" xfId="1" applyNumberFormat="1" applyFont="1" applyBorder="1" applyAlignment="1">
      <alignment horizontal="center" vertical="center" wrapText="1"/>
    </xf>
    <xf numFmtId="164" fontId="4" fillId="2" borderId="16" xfId="1" applyNumberFormat="1" applyFont="1" applyFill="1" applyBorder="1" applyAlignment="1">
      <alignment horizontal="center" vertical="center" wrapText="1"/>
    </xf>
    <xf numFmtId="38" fontId="4" fillId="0" borderId="1" xfId="1" applyNumberFormat="1" applyFont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38" fontId="4" fillId="0" borderId="17" xfId="1" applyNumberFormat="1" applyFont="1" applyBorder="1" applyAlignment="1">
      <alignment horizontal="center" vertical="center" wrapText="1"/>
    </xf>
    <xf numFmtId="164" fontId="4" fillId="5" borderId="17" xfId="1" applyNumberFormat="1" applyFont="1" applyFill="1" applyBorder="1" applyAlignment="1">
      <alignment horizontal="center" vertical="center" wrapText="1"/>
    </xf>
    <xf numFmtId="164" fontId="4" fillId="2" borderId="17" xfId="1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 readingOrder="2"/>
    </xf>
    <xf numFmtId="0" fontId="6" fillId="0" borderId="16" xfId="0" applyFont="1" applyBorder="1" applyAlignment="1">
      <alignment horizontal="center" vertical="center" wrapText="1"/>
    </xf>
    <xf numFmtId="164" fontId="4" fillId="5" borderId="16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5" fillId="0" borderId="19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8" fontId="4" fillId="5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 readingOrder="2"/>
    </xf>
    <xf numFmtId="0" fontId="6" fillId="0" borderId="17" xfId="0" applyFont="1" applyBorder="1" applyAlignment="1">
      <alignment horizontal="center" vertical="center"/>
    </xf>
    <xf numFmtId="0" fontId="0" fillId="0" borderId="17" xfId="0" applyBorder="1"/>
    <xf numFmtId="43" fontId="4" fillId="5" borderId="1" xfId="1" applyFont="1" applyFill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38" fontId="4" fillId="0" borderId="0" xfId="1" applyNumberFormat="1" applyFont="1" applyBorder="1" applyAlignment="1">
      <alignment horizontal="center" vertical="center" wrapText="1"/>
    </xf>
    <xf numFmtId="164" fontId="4" fillId="5" borderId="0" xfId="1" applyNumberFormat="1" applyFont="1" applyFill="1" applyBorder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38" fontId="21" fillId="5" borderId="0" xfId="0" applyNumberFormat="1" applyFont="1" applyFill="1" applyAlignment="1">
      <alignment horizontal="center"/>
    </xf>
    <xf numFmtId="0" fontId="23" fillId="4" borderId="2" xfId="0" applyFont="1" applyFill="1" applyBorder="1" applyAlignment="1">
      <alignment horizontal="center" vertical="center" wrapText="1" readingOrder="2"/>
    </xf>
    <xf numFmtId="0" fontId="22" fillId="9" borderId="0" xfId="0" applyFont="1" applyFill="1"/>
    <xf numFmtId="0" fontId="25" fillId="10" borderId="0" xfId="0" applyFont="1" applyFill="1"/>
    <xf numFmtId="0" fontId="26" fillId="10" borderId="0" xfId="0" applyFont="1" applyFill="1"/>
    <xf numFmtId="0" fontId="27" fillId="10" borderId="0" xfId="0" applyFont="1" applyFill="1"/>
    <xf numFmtId="164" fontId="11" fillId="0" borderId="13" xfId="1" applyNumberFormat="1" applyFont="1" applyBorder="1" applyAlignment="1">
      <alignment horizontal="center" vertical="center"/>
    </xf>
    <xf numFmtId="164" fontId="18" fillId="4" borderId="2" xfId="1" applyNumberFormat="1" applyFont="1" applyFill="1" applyBorder="1" applyAlignment="1">
      <alignment vertical="center" wrapText="1" readingOrder="2"/>
    </xf>
    <xf numFmtId="164" fontId="16" fillId="10" borderId="0" xfId="1" applyNumberFormat="1" applyFont="1" applyFill="1"/>
    <xf numFmtId="0" fontId="28" fillId="0" borderId="0" xfId="0" applyFont="1"/>
    <xf numFmtId="0" fontId="29" fillId="4" borderId="2" xfId="0" applyFont="1" applyFill="1" applyBorder="1" applyAlignment="1">
      <alignment horizontal="center" vertical="center" wrapText="1" readingOrder="2"/>
    </xf>
    <xf numFmtId="38" fontId="0" fillId="10" borderId="0" xfId="0" applyNumberFormat="1" applyFill="1"/>
    <xf numFmtId="0" fontId="0" fillId="10" borderId="0" xfId="0" applyFill="1"/>
    <xf numFmtId="0" fontId="0" fillId="11" borderId="0" xfId="0" applyFill="1"/>
    <xf numFmtId="37" fontId="11" fillId="0" borderId="13" xfId="1" applyNumberFormat="1" applyFont="1" applyBorder="1" applyAlignment="1">
      <alignment horizontal="center" vertical="center"/>
    </xf>
    <xf numFmtId="37" fontId="18" fillId="4" borderId="2" xfId="1" applyNumberFormat="1" applyFont="1" applyFill="1" applyBorder="1" applyAlignment="1">
      <alignment horizontal="center" vertical="center" wrapText="1" readingOrder="2"/>
    </xf>
    <xf numFmtId="164" fontId="4" fillId="0" borderId="1" xfId="1" applyNumberFormat="1" applyFont="1" applyFill="1" applyBorder="1" applyAlignment="1">
      <alignment horizontal="center" vertical="center" wrapText="1"/>
    </xf>
    <xf numFmtId="37" fontId="0" fillId="0" borderId="0" xfId="0" applyNumberFormat="1"/>
    <xf numFmtId="0" fontId="11" fillId="0" borderId="13" xfId="0" applyFont="1" applyBorder="1" applyAlignment="1">
      <alignment horizontal="center" vertical="center" wrapText="1"/>
    </xf>
    <xf numFmtId="164" fontId="9" fillId="7" borderId="5" xfId="1" applyNumberFormat="1" applyFont="1" applyFill="1" applyBorder="1" applyAlignment="1">
      <alignment vertical="center" wrapText="1"/>
    </xf>
    <xf numFmtId="0" fontId="30" fillId="4" borderId="2" xfId="0" applyFont="1" applyFill="1" applyBorder="1" applyAlignment="1">
      <alignment horizontal="center" vertical="center" wrapText="1" readingOrder="2"/>
    </xf>
    <xf numFmtId="0" fontId="31" fillId="4" borderId="2" xfId="0" applyFont="1" applyFill="1" applyBorder="1" applyAlignment="1">
      <alignment horizontal="center" vertical="center" wrapText="1" readingOrder="2"/>
    </xf>
    <xf numFmtId="38" fontId="0" fillId="7" borderId="0" xfId="0" applyNumberFormat="1" applyFill="1"/>
    <xf numFmtId="164" fontId="4" fillId="0" borderId="16" xfId="1" applyNumberFormat="1" applyFont="1" applyFill="1" applyBorder="1" applyAlignment="1">
      <alignment horizontal="center" vertical="center" wrapText="1"/>
    </xf>
    <xf numFmtId="164" fontId="4" fillId="0" borderId="17" xfId="1" applyNumberFormat="1" applyFont="1" applyFill="1" applyBorder="1" applyAlignment="1">
      <alignment horizontal="center" vertical="center" wrapText="1"/>
    </xf>
    <xf numFmtId="37" fontId="27" fillId="10" borderId="0" xfId="0" applyNumberFormat="1" applyFont="1" applyFill="1"/>
    <xf numFmtId="0" fontId="15" fillId="4" borderId="13" xfId="0" applyFont="1" applyFill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/>
    </xf>
    <xf numFmtId="37" fontId="8" fillId="4" borderId="13" xfId="0" applyNumberFormat="1" applyFont="1" applyFill="1" applyBorder="1" applyAlignment="1">
      <alignment horizontal="center" vertical="center" wrapText="1" readingOrder="2"/>
    </xf>
    <xf numFmtId="38" fontId="11" fillId="0" borderId="2" xfId="0" applyNumberFormat="1" applyFont="1" applyBorder="1" applyAlignment="1">
      <alignment horizontal="center" vertical="center"/>
    </xf>
    <xf numFmtId="9" fontId="8" fillId="4" borderId="13" xfId="2" applyFont="1" applyFill="1" applyBorder="1" applyAlignment="1">
      <alignment horizontal="center" vertical="center" wrapText="1" readingOrder="2"/>
    </xf>
    <xf numFmtId="9" fontId="11" fillId="0" borderId="2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1" fillId="0" borderId="0" xfId="2" applyFont="1" applyBorder="1" applyAlignment="1">
      <alignment horizontal="center" vertical="center"/>
    </xf>
    <xf numFmtId="164" fontId="4" fillId="12" borderId="1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vertical="center" wrapText="1" readingOrder="2"/>
    </xf>
    <xf numFmtId="164" fontId="17" fillId="5" borderId="16" xfId="1" applyNumberFormat="1" applyFont="1" applyFill="1" applyBorder="1" applyAlignment="1">
      <alignment horizontal="center" vertical="center" wrapText="1"/>
    </xf>
    <xf numFmtId="164" fontId="33" fillId="5" borderId="16" xfId="1" applyNumberFormat="1" applyFont="1" applyFill="1" applyBorder="1" applyAlignment="1">
      <alignment horizontal="center" vertical="center" wrapText="1"/>
    </xf>
    <xf numFmtId="1" fontId="34" fillId="5" borderId="16" xfId="1" applyNumberFormat="1" applyFont="1" applyFill="1" applyBorder="1" applyAlignment="1">
      <alignment horizontal="center" vertical="center" wrapText="1"/>
    </xf>
    <xf numFmtId="38" fontId="11" fillId="0" borderId="0" xfId="0" applyNumberFormat="1" applyFont="1" applyAlignment="1">
      <alignment horizontal="center" vertical="center"/>
    </xf>
    <xf numFmtId="37" fontId="0" fillId="0" borderId="0" xfId="0" applyNumberFormat="1" applyAlignment="1">
      <alignment horizontal="center"/>
    </xf>
    <xf numFmtId="164" fontId="4" fillId="11" borderId="1" xfId="1" applyNumberFormat="1" applyFont="1" applyFill="1" applyBorder="1" applyAlignment="1">
      <alignment horizontal="center" vertical="center" wrapText="1"/>
    </xf>
    <xf numFmtId="38" fontId="11" fillId="11" borderId="13" xfId="1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 readingOrder="2"/>
    </xf>
    <xf numFmtId="0" fontId="18" fillId="4" borderId="2" xfId="0" applyFont="1" applyFill="1" applyBorder="1" applyAlignment="1">
      <alignment horizontal="center" vertical="center" wrapText="1" readingOrder="2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right" vertical="center" wrapText="1" readingOrder="2"/>
    </xf>
    <xf numFmtId="0" fontId="18" fillId="4" borderId="2" xfId="0" applyFont="1" applyFill="1" applyBorder="1" applyAlignment="1">
      <alignment horizontal="right" vertical="center" wrapText="1" readingOrder="2"/>
    </xf>
    <xf numFmtId="0" fontId="7" fillId="4" borderId="12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32" fillId="4" borderId="12" xfId="0" applyFont="1" applyFill="1" applyBorder="1" applyAlignment="1">
      <alignment horizontal="center"/>
    </xf>
    <xf numFmtId="0" fontId="32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 wrapText="1" readingOrder="2"/>
    </xf>
    <xf numFmtId="0" fontId="8" fillId="4" borderId="11" xfId="0" applyFont="1" applyFill="1" applyBorder="1" applyAlignment="1">
      <alignment horizontal="center" vertical="center" wrapText="1" readingOrder="2"/>
    </xf>
    <xf numFmtId="0" fontId="8" fillId="4" borderId="8" xfId="0" applyFont="1" applyFill="1" applyBorder="1" applyAlignment="1">
      <alignment horizontal="center" vertical="center" wrapText="1" readingOrder="2"/>
    </xf>
    <xf numFmtId="0" fontId="8" fillId="4" borderId="2" xfId="0" applyFont="1" applyFill="1" applyBorder="1" applyAlignment="1">
      <alignment horizontal="center" vertical="center" wrapText="1" readingOrder="2"/>
    </xf>
    <xf numFmtId="43" fontId="8" fillId="4" borderId="21" xfId="1" applyFont="1" applyFill="1" applyBorder="1" applyAlignment="1">
      <alignment horizontal="center" vertical="center" wrapText="1" readingOrder="2"/>
    </xf>
    <xf numFmtId="43" fontId="8" fillId="4" borderId="9" xfId="1" applyFont="1" applyFill="1" applyBorder="1" applyAlignment="1">
      <alignment horizontal="center" vertical="center" wrapText="1" readingOrder="2"/>
    </xf>
    <xf numFmtId="0" fontId="20" fillId="4" borderId="12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4" fillId="11" borderId="16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ar-EG" sz="4000" b="1"/>
              <a:t>تحليل مصروفات 2025</a:t>
            </a:r>
          </a:p>
        </c:rich>
      </c:tx>
      <c:layout>
        <c:manualLayout>
          <c:xMode val="edge"/>
          <c:yMode val="edge"/>
          <c:x val="0.37013749826079756"/>
          <c:y val="3.8015984084546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'YTD expense Analysis '!$AF$5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154-40AB-B49E-A82476CAF9D9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1154-40AB-B49E-A82476CAF9D9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439E-4E76-8317-6C83331CC419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439E-4E76-8317-6C83331CC419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3BD7-4B6D-9893-B6202D5B68DD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3BD7-4B6D-9893-B6202D5B68DD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90B6-4D9E-B066-3012DF1D071D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BD7-4B6D-9893-B6202D5B68DD}"/>
              </c:ext>
            </c:extLst>
          </c:dPt>
          <c:dLbls>
            <c:dLbl>
              <c:idx val="1"/>
              <c:layout>
                <c:manualLayout>
                  <c:x val="-1.1550149120619841E-2"/>
                  <c:y val="8.81391467089247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54-40AB-B49E-A82476CAF9D9}"/>
                </c:ext>
              </c:extLst>
            </c:dLbl>
            <c:dLbl>
              <c:idx val="3"/>
              <c:layout>
                <c:manualLayout>
                  <c:x val="2.662793329748836E-2"/>
                  <c:y val="-5.44761991912929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9E-4E76-8317-6C83331CC419}"/>
                </c:ext>
              </c:extLst>
            </c:dLbl>
            <c:dLbl>
              <c:idx val="6"/>
              <c:layout>
                <c:manualLayout>
                  <c:x val="-0.15184498328830989"/>
                  <c:y val="3.41832528135505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154-40AB-B49E-A82476CAF9D9}"/>
                </c:ext>
              </c:extLst>
            </c:dLbl>
            <c:dLbl>
              <c:idx val="8"/>
              <c:layout>
                <c:manualLayout>
                  <c:x val="2.5562815965588827E-2"/>
                  <c:y val="-3.492064050723902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9E-4E76-8317-6C83331CC419}"/>
                </c:ext>
              </c:extLst>
            </c:dLbl>
            <c:dLbl>
              <c:idx val="9"/>
              <c:layout>
                <c:manualLayout>
                  <c:x val="5.9446127245961341E-3"/>
                  <c:y val="-1.955555868405388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9E-4E76-8317-6C83331CC419}"/>
                </c:ext>
              </c:extLst>
            </c:dLbl>
            <c:dLbl>
              <c:idx val="10"/>
              <c:layout>
                <c:manualLayout>
                  <c:x val="-2.4003719020705964E-2"/>
                  <c:y val="-5.18115618446193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9E-4E76-8317-6C83331CC419}"/>
                </c:ext>
              </c:extLst>
            </c:dLbl>
            <c:dLbl>
              <c:idx val="12"/>
              <c:layout>
                <c:manualLayout>
                  <c:x val="8.3079151888163769E-2"/>
                  <c:y val="-4.050794298839753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B6-4D9E-B066-3012DF1D071D}"/>
                </c:ext>
              </c:extLst>
            </c:dLbl>
            <c:dLbl>
              <c:idx val="13"/>
              <c:layout>
                <c:manualLayout>
                  <c:x val="-2.1012599013476071E-2"/>
                  <c:y val="1.62428316860704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D7-4B6D-9893-B6202D5B68DD}"/>
                </c:ext>
              </c:extLst>
            </c:dLbl>
            <c:dLbl>
              <c:idx val="16"/>
              <c:layout>
                <c:manualLayout>
                  <c:x val="7.6813158878855745E-2"/>
                  <c:y val="6.373594320485030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B6-4D9E-B066-3012DF1D071D}"/>
                </c:ext>
              </c:extLst>
            </c:dLbl>
            <c:dLbl>
              <c:idx val="18"/>
              <c:layout>
                <c:manualLayout>
                  <c:x val="-4.2452557619283307E-2"/>
                  <c:y val="-2.67400817681920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D7-4B6D-9893-B6202D5B68DD}"/>
                </c:ext>
              </c:extLst>
            </c:dLbl>
            <c:dLbl>
              <c:idx val="19"/>
              <c:layout>
                <c:manualLayout>
                  <c:x val="5.5866451257853333E-2"/>
                  <c:y val="0.16478809718651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D7-4B6D-9893-B6202D5B68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'YTD expense Analysis '!$AI$5:$AI$32</c15:sqref>
                  </c15:fullRef>
                </c:ext>
              </c:extLst>
              <c:f>('YTD expense Analysis '!$AI$6:$AI$14,'YTD expense Analysis '!$AI$16:$AI$18,'YTD expense Analysis '!$AI$20:$AI$25,'YTD expense Analysis '!$AI$27,'YTD expense Analysis '!$AI$30)</c:f>
              <c:strCache>
                <c:ptCount val="20"/>
                <c:pt idx="0">
                  <c:v>Total</c:v>
                </c:pt>
                <c:pt idx="1">
                  <c:v>راتب الحارس</c:v>
                </c:pt>
                <c:pt idx="2">
                  <c:v>فاتورة مياة</c:v>
                </c:pt>
                <c:pt idx="3">
                  <c:v>كهرباء</c:v>
                </c:pt>
                <c:pt idx="4">
                  <c:v>غيار ممسحة</c:v>
                </c:pt>
                <c:pt idx="5">
                  <c:v>اجرة الجنايني</c:v>
                </c:pt>
                <c:pt idx="6">
                  <c:v>مستلزمات نظافة</c:v>
                </c:pt>
                <c:pt idx="7">
                  <c:v>جركن زيت للاسانسير</c:v>
                </c:pt>
                <c:pt idx="8">
                  <c:v>مواسير رى الجنينة</c:v>
                </c:pt>
                <c:pt idx="9">
                  <c:v>دهان السلالم</c:v>
                </c:pt>
                <c:pt idx="10">
                  <c:v>نقل مخلفات الجنينة</c:v>
                </c:pt>
                <c:pt idx="11">
                  <c:v>تركيب وفك زينه رمضان </c:v>
                </c:pt>
                <c:pt idx="12">
                  <c:v>تصليح موتور المياه </c:v>
                </c:pt>
                <c:pt idx="13">
                  <c:v>عيدية البواب</c:v>
                </c:pt>
                <c:pt idx="14">
                  <c:v>لوحة العمارة</c:v>
                </c:pt>
                <c:pt idx="15">
                  <c:v>شفرات الاسانسير </c:v>
                </c:pt>
                <c:pt idx="16">
                  <c:v>رخام السلم (صدادات)</c:v>
                </c:pt>
                <c:pt idx="17">
                  <c:v>فيشر ومصنعيه مواسير</c:v>
                </c:pt>
                <c:pt idx="18">
                  <c:v>جهاز شفرات الاسانسير B ,مروحة اسانسير B</c:v>
                </c:pt>
                <c:pt idx="19">
                  <c:v>تصليح باب الجراج (مقبض)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'YTD expense Analysis '!$AJ$5:$AJ$32</c15:sqref>
                  </c15:fullRef>
                </c:ext>
              </c:extLst>
              <c:f>('YTD expense Analysis '!$AJ$6:$AJ$14,'YTD expense Analysis '!$AJ$16:$AJ$18,'YTD expense Analysis '!$AJ$20:$AJ$25,'YTD expense Analysis '!$AJ$27,'YTD expense Analysis '!$AJ$30)</c:f>
              <c:numCache>
                <c:formatCode>#,##0_);\(#,##0\)</c:formatCode>
                <c:ptCount val="20"/>
                <c:pt idx="0">
                  <c:v>0</c:v>
                </c:pt>
                <c:pt idx="1" formatCode="#,##0_);[Red]\(#,##0\)">
                  <c:v>-6000</c:v>
                </c:pt>
                <c:pt idx="2" formatCode="#,##0_);[Red]\(#,##0\)">
                  <c:v>-6155</c:v>
                </c:pt>
                <c:pt idx="3" formatCode="#,##0_);[Red]\(#,##0\)">
                  <c:v>-5400</c:v>
                </c:pt>
                <c:pt idx="4" formatCode="#,##0_);[Red]\(#,##0\)">
                  <c:v>-375</c:v>
                </c:pt>
                <c:pt idx="5" formatCode="#,##0_);[Red]\(#,##0\)">
                  <c:v>-800</c:v>
                </c:pt>
                <c:pt idx="6" formatCode="#,##0_);[Red]\(#,##0\)">
                  <c:v>-1000</c:v>
                </c:pt>
                <c:pt idx="7" formatCode="#,##0_);[Red]\(#,##0\)">
                  <c:v>-600</c:v>
                </c:pt>
                <c:pt idx="8" formatCode="#,##0_);[Red]\(#,##0\)">
                  <c:v>0</c:v>
                </c:pt>
                <c:pt idx="9" formatCode="#,##0_);[Red]\(#,##0\)">
                  <c:v>0</c:v>
                </c:pt>
                <c:pt idx="10" formatCode="#,##0_);[Red]\(#,##0\)">
                  <c:v>0</c:v>
                </c:pt>
                <c:pt idx="11" formatCode="#,##0_);[Red]\(#,##0\)">
                  <c:v>-8750</c:v>
                </c:pt>
                <c:pt idx="12" formatCode="#,##0_);[Red]\(#,##0\)">
                  <c:v>0</c:v>
                </c:pt>
                <c:pt idx="13" formatCode="#,##0_);[Red]\(#,##0\)">
                  <c:v>0</c:v>
                </c:pt>
                <c:pt idx="14" formatCode="#,##0_);[Red]\(#,##0\)">
                  <c:v>0</c:v>
                </c:pt>
                <c:pt idx="15" formatCode="#,##0_);[Red]\(#,##0\)">
                  <c:v>0</c:v>
                </c:pt>
                <c:pt idx="16" formatCode="#,##0_);[Red]\(#,##0\)">
                  <c:v>0</c:v>
                </c:pt>
                <c:pt idx="17" formatCode="#,##0_);[Red]\(#,##0\)">
                  <c:v>0</c:v>
                </c:pt>
                <c:pt idx="18" formatCode="#,##0_);[Red]\(#,##0\)">
                  <c:v>-500</c:v>
                </c:pt>
                <c:pt idx="19" formatCode="#,##0_);[Red]\(#,##0\)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'YTD expense Analysis '!$AJ$5</c15:sqref>
                  <c15:bubble3D val="0"/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523D-4976-9375-DB2F8C774B8E}"/>
                      </c:ext>
                    </c:extLst>
                  </c15:dLbl>
                </c15:categoryFilterException>
                <c15:categoryFilterException>
                  <c15:sqref>'YTD expense Analysis '!$AJ$15</c15:sqref>
                  <c15:bubble3D val="0"/>
                  <c15:dLbl>
                    <c:idx val="8"/>
                    <c:layout>
                      <c:manualLayout>
                        <c:x val="-4.0698079384412375E-2"/>
                        <c:y val="-5.1836460887841648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523D-4976-9375-DB2F8C774B8E}"/>
                      </c:ext>
                    </c:extLst>
                  </c15:dLbl>
                </c15:categoryFilterException>
                <c15:categoryFilterException>
                  <c15:sqref>'YTD expense Analysis '!$AJ$28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6A54-4FB4-B6BC-973E1006A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321423"/>
        <c:axId val="1465321903"/>
      </c:radarChart>
      <c:catAx>
        <c:axId val="1465321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5321903"/>
        <c:crosses val="autoZero"/>
        <c:auto val="1"/>
        <c:lblAlgn val="ctr"/>
        <c:lblOffset val="100"/>
        <c:noMultiLvlLbl val="0"/>
      </c:catAx>
      <c:valAx>
        <c:axId val="14653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2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458929</xdr:colOff>
      <xdr:row>10</xdr:row>
      <xdr:rowOff>103911</xdr:rowOff>
    </xdr:from>
    <xdr:to>
      <xdr:col>60</xdr:col>
      <xdr:colOff>43295</xdr:colOff>
      <xdr:row>44</xdr:row>
      <xdr:rowOff>17319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D586EF-69E9-EC0D-6DAE-44FB4B1A0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hab mahdy" id="{7DD4AC8F-43A5-4F68-BF08-881DD4796929}" userId="635867fce6e7d00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5-12T04:12:31.81" personId="{7DD4AC8F-43A5-4F68-BF08-881DD4796929}" id="{74F2A0F8-2C51-451C-8E33-6F683EB2C34C}">
    <text>تصوير افلام 3000 جنيه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4C58-93F0-4138-A2FD-E2585F437E0F}">
  <sheetPr>
    <tabColor rgb="FFFF0000"/>
  </sheetPr>
  <dimension ref="A1:Q16"/>
  <sheetViews>
    <sheetView showGridLines="0" workbookViewId="0">
      <selection activeCell="O3" sqref="O3"/>
    </sheetView>
  </sheetViews>
  <sheetFormatPr defaultRowHeight="14.25" x14ac:dyDescent="0.45"/>
  <cols>
    <col min="16" max="16" width="12.1328125" customWidth="1"/>
  </cols>
  <sheetData>
    <row r="1" spans="1:17" ht="14.65" thickBot="1" x14ac:dyDescent="0.5"/>
    <row r="2" spans="1:17" ht="15.4" thickBot="1" x14ac:dyDescent="0.5">
      <c r="D2" s="132" t="s">
        <v>0</v>
      </c>
      <c r="E2" s="132" t="s">
        <v>1</v>
      </c>
      <c r="F2" s="132" t="s">
        <v>2</v>
      </c>
      <c r="G2" s="132" t="s">
        <v>3</v>
      </c>
      <c r="H2" s="132" t="s">
        <v>166</v>
      </c>
      <c r="I2" s="132" t="s">
        <v>167</v>
      </c>
      <c r="J2" s="132" t="s">
        <v>175</v>
      </c>
      <c r="K2" s="132" t="s">
        <v>176</v>
      </c>
      <c r="L2" s="132" t="s">
        <v>177</v>
      </c>
      <c r="M2" s="132" t="s">
        <v>178</v>
      </c>
      <c r="N2" s="132" t="s">
        <v>179</v>
      </c>
      <c r="O2" s="132" t="s">
        <v>180</v>
      </c>
      <c r="P2" s="122" t="s">
        <v>12</v>
      </c>
    </row>
    <row r="3" spans="1:17" x14ac:dyDescent="0.45">
      <c r="A3" s="164" t="s">
        <v>13</v>
      </c>
      <c r="B3" s="164"/>
      <c r="C3" s="164"/>
      <c r="D3" s="123" t="b">
        <f>'Summary Sheet'!D27</f>
        <v>1</v>
      </c>
      <c r="E3" s="123" t="b">
        <f>'Summary Sheet'!E27</f>
        <v>1</v>
      </c>
      <c r="F3" s="123" t="b">
        <f>'Summary Sheet'!F27</f>
        <v>1</v>
      </c>
      <c r="G3" s="123" t="b">
        <f>'Summary Sheet'!G27</f>
        <v>1</v>
      </c>
      <c r="H3" s="123" t="b">
        <f>'Summary Sheet'!H27</f>
        <v>0</v>
      </c>
      <c r="I3" s="123" t="b">
        <f>'Summary Sheet'!I27</f>
        <v>0</v>
      </c>
      <c r="J3" s="134" t="b">
        <f>'Summary Sheet'!J27</f>
        <v>0</v>
      </c>
      <c r="K3" s="134" t="b">
        <f>'Summary Sheet'!K27</f>
        <v>0</v>
      </c>
      <c r="L3" s="134" t="b">
        <f>'Summary Sheet'!L27</f>
        <v>0</v>
      </c>
      <c r="M3" s="63" t="b">
        <f>'Summary Sheet'!M27</f>
        <v>0</v>
      </c>
      <c r="N3" s="63" t="b">
        <f>'Summary Sheet'!N27</f>
        <v>0</v>
      </c>
      <c r="O3" s="63" t="b">
        <f>'Summary Sheet'!O27</f>
        <v>0</v>
      </c>
      <c r="P3" s="63" t="b">
        <f>'Summary Sheet'!P27</f>
        <v>1</v>
      </c>
      <c r="Q3" s="63">
        <f>'Summary Sheet'!Q27</f>
        <v>0</v>
      </c>
    </row>
    <row r="4" spans="1:17" x14ac:dyDescent="0.45">
      <c r="A4" s="164"/>
      <c r="B4" s="164"/>
      <c r="C4" s="164"/>
      <c r="D4" s="123" t="b">
        <f>'Summary Sheet'!R9</f>
        <v>1</v>
      </c>
    </row>
    <row r="5" spans="1:17" x14ac:dyDescent="0.45">
      <c r="A5" s="164"/>
      <c r="B5" s="164"/>
      <c r="C5" s="164"/>
      <c r="D5" s="123" t="b">
        <f>'Summary Sheet'!R17</f>
        <v>1</v>
      </c>
    </row>
    <row r="6" spans="1:17" ht="14.65" thickBot="1" x14ac:dyDescent="0.5">
      <c r="D6" s="123" t="b">
        <f>'Summary Sheet'!R25</f>
        <v>1</v>
      </c>
    </row>
    <row r="7" spans="1:17" s="121" customFormat="1" ht="20.100000000000001" customHeight="1" thickBot="1" x14ac:dyDescent="0.5">
      <c r="D7" s="132" t="s">
        <v>0</v>
      </c>
      <c r="E7" s="132" t="s">
        <v>1</v>
      </c>
      <c r="F7" s="132" t="s">
        <v>2</v>
      </c>
      <c r="G7" s="132" t="s">
        <v>3</v>
      </c>
      <c r="H7" s="132" t="s">
        <v>166</v>
      </c>
      <c r="I7" s="132" t="s">
        <v>167</v>
      </c>
      <c r="J7" s="132" t="s">
        <v>175</v>
      </c>
      <c r="K7" s="132" t="s">
        <v>176</v>
      </c>
      <c r="L7" s="132" t="s">
        <v>177</v>
      </c>
      <c r="M7" s="132" t="s">
        <v>178</v>
      </c>
      <c r="N7" s="132" t="s">
        <v>179</v>
      </c>
      <c r="O7" s="132" t="s">
        <v>180</v>
      </c>
      <c r="P7" s="122" t="s">
        <v>12</v>
      </c>
      <c r="Q7"/>
    </row>
    <row r="8" spans="1:17" x14ac:dyDescent="0.45">
      <c r="A8" s="165" t="s">
        <v>14</v>
      </c>
      <c r="B8" s="165"/>
      <c r="C8" s="165"/>
      <c r="D8" s="124" t="b">
        <f>'Annual Income (Combined)'!F35</f>
        <v>1</v>
      </c>
      <c r="E8" s="124" t="b">
        <f>'Annual Income (Combined)'!G35</f>
        <v>1</v>
      </c>
      <c r="F8" s="124" t="b">
        <f>'Annual Income (Combined)'!H35</f>
        <v>1</v>
      </c>
      <c r="G8" s="124" t="b">
        <f>'Annual Income (Combined)'!I35</f>
        <v>1</v>
      </c>
      <c r="H8" s="124" t="b">
        <f>'Annual Income (Combined)'!J35</f>
        <v>1</v>
      </c>
      <c r="I8" s="124" t="b">
        <f>'Annual Income (Combined)'!K35</f>
        <v>1</v>
      </c>
      <c r="J8" s="66" t="b">
        <f>'Annual Income (Combined)'!L35</f>
        <v>1</v>
      </c>
      <c r="K8" s="66" t="b">
        <f>'Annual Income (Combined)'!M35</f>
        <v>1</v>
      </c>
      <c r="L8" s="66" t="b">
        <f>'Annual Income (Combined)'!N35</f>
        <v>1</v>
      </c>
      <c r="M8" t="b">
        <f>'Annual Income (Combined)'!O35</f>
        <v>1</v>
      </c>
      <c r="N8" t="b">
        <f>'Annual Income (Combined)'!P35</f>
        <v>1</v>
      </c>
      <c r="O8" t="b">
        <f>'Annual Income (Combined)'!Q35</f>
        <v>1</v>
      </c>
      <c r="P8" t="b">
        <f>'Annual Income (Combined)'!R35</f>
        <v>1</v>
      </c>
    </row>
    <row r="9" spans="1:17" x14ac:dyDescent="0.45">
      <c r="A9" s="165"/>
      <c r="B9" s="165"/>
      <c r="C9" s="165"/>
    </row>
    <row r="10" spans="1:17" x14ac:dyDescent="0.45">
      <c r="A10" s="165"/>
      <c r="B10" s="165"/>
      <c r="C10" s="165"/>
    </row>
    <row r="14" spans="1:17" x14ac:dyDescent="0.45">
      <c r="A14" s="164" t="s">
        <v>13</v>
      </c>
      <c r="B14" s="164"/>
      <c r="C14" s="164"/>
    </row>
    <row r="15" spans="1:17" x14ac:dyDescent="0.45">
      <c r="A15" s="164"/>
      <c r="B15" s="164"/>
      <c r="C15" s="164"/>
    </row>
    <row r="16" spans="1:17" x14ac:dyDescent="0.45">
      <c r="A16" s="164"/>
      <c r="B16" s="164"/>
      <c r="C16" s="164"/>
    </row>
  </sheetData>
  <mergeCells count="3">
    <mergeCell ref="A3:C5"/>
    <mergeCell ref="A8:C10"/>
    <mergeCell ref="A14:C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E0C0-C201-4986-95C5-A87CA1FB4FC3}">
  <sheetPr>
    <pageSetUpPr fitToPage="1"/>
  </sheetPr>
  <dimension ref="A1:S33"/>
  <sheetViews>
    <sheetView showGridLines="0" topLeftCell="C1" zoomScale="64" zoomScaleNormal="70" workbookViewId="0">
      <selection activeCell="G8" sqref="G8"/>
    </sheetView>
  </sheetViews>
  <sheetFormatPr defaultColWidth="0" defaultRowHeight="14.25" zeroHeight="1" x14ac:dyDescent="0.45"/>
  <cols>
    <col min="1" max="1" width="9.1328125" customWidth="1"/>
    <col min="2" max="2" width="14.86328125" customWidth="1"/>
    <col min="3" max="3" width="42.73046875" bestFit="1" customWidth="1"/>
    <col min="4" max="4" width="21.86328125" customWidth="1"/>
    <col min="5" max="13" width="15.59765625" style="48" customWidth="1"/>
    <col min="14" max="14" width="21.265625" style="48" customWidth="1"/>
    <col min="15" max="15" width="15.59765625" style="48" customWidth="1"/>
    <col min="16" max="16" width="1.73046875" style="48" customWidth="1"/>
    <col min="17" max="17" width="18.1328125" style="48" customWidth="1"/>
    <col min="18" max="18" width="27.59765625" style="48" customWidth="1"/>
    <col min="19" max="19" width="9.1328125" customWidth="1"/>
    <col min="20" max="16384" width="9.1328125" hidden="1"/>
  </cols>
  <sheetData>
    <row r="1" spans="2:18" x14ac:dyDescent="0.45"/>
    <row r="2" spans="2:18" x14ac:dyDescent="0.45"/>
    <row r="3" spans="2:18" ht="39.75" customHeight="1" x14ac:dyDescent="0.45">
      <c r="B3" s="166" t="s">
        <v>15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</row>
    <row r="4" spans="2:18" ht="7.15" customHeight="1" thickBot="1" x14ac:dyDescent="0.5"/>
    <row r="5" spans="2:18" ht="35.65" thickBot="1" x14ac:dyDescent="0.5">
      <c r="B5" s="23" t="s">
        <v>16</v>
      </c>
      <c r="C5" s="69" t="s">
        <v>17</v>
      </c>
      <c r="D5" s="113" t="s">
        <v>0</v>
      </c>
      <c r="E5" s="113" t="s">
        <v>1</v>
      </c>
      <c r="F5" s="113" t="s">
        <v>2</v>
      </c>
      <c r="G5" s="113" t="s">
        <v>3</v>
      </c>
      <c r="H5" s="113" t="s">
        <v>166</v>
      </c>
      <c r="I5" s="113" t="s">
        <v>167</v>
      </c>
      <c r="J5" s="113" t="s">
        <v>175</v>
      </c>
      <c r="K5" s="113" t="s">
        <v>176</v>
      </c>
      <c r="L5" s="113" t="s">
        <v>177</v>
      </c>
      <c r="M5" s="113" t="s">
        <v>178</v>
      </c>
      <c r="N5" s="113" t="s">
        <v>179</v>
      </c>
      <c r="O5" s="113" t="s">
        <v>180</v>
      </c>
      <c r="Q5" s="24" t="s">
        <v>18</v>
      </c>
    </row>
    <row r="6" spans="2:18" ht="27.75" customHeight="1" x14ac:dyDescent="0.45">
      <c r="B6" s="25">
        <v>1</v>
      </c>
      <c r="C6" s="38" t="s">
        <v>19</v>
      </c>
      <c r="D6" s="45">
        <f>January!R24</f>
        <v>45771</v>
      </c>
      <c r="E6" s="45">
        <f t="shared" ref="E6:O6" si="0">D9</f>
        <v>51346</v>
      </c>
      <c r="F6" s="45">
        <f t="shared" si="0"/>
        <v>30241</v>
      </c>
      <c r="G6" s="45">
        <f t="shared" si="0"/>
        <v>32301</v>
      </c>
      <c r="H6" s="45">
        <f t="shared" si="0"/>
        <v>32721</v>
      </c>
      <c r="I6" s="45">
        <f>H9</f>
        <v>46521</v>
      </c>
      <c r="J6" s="45">
        <f t="shared" si="0"/>
        <v>52521</v>
      </c>
      <c r="K6" s="45">
        <f t="shared" si="0"/>
        <v>52521</v>
      </c>
      <c r="L6" s="45">
        <f t="shared" si="0"/>
        <v>52521</v>
      </c>
      <c r="M6" s="45">
        <f t="shared" si="0"/>
        <v>52521</v>
      </c>
      <c r="N6" s="45">
        <f t="shared" si="0"/>
        <v>52521</v>
      </c>
      <c r="O6" s="45">
        <f t="shared" si="0"/>
        <v>52521</v>
      </c>
      <c r="Q6" s="45">
        <f>D6</f>
        <v>45771</v>
      </c>
      <c r="R6" s="52">
        <f>O6-Q6</f>
        <v>6750</v>
      </c>
    </row>
    <row r="7" spans="2:18" ht="21.75" customHeight="1" x14ac:dyDescent="0.45">
      <c r="B7" s="25">
        <v>2</v>
      </c>
      <c r="C7" s="38" t="s">
        <v>20</v>
      </c>
      <c r="D7" s="45">
        <f>'Annual income (maintenenace)'!F33</f>
        <v>15500</v>
      </c>
      <c r="E7" s="154">
        <f>'Annual income (maintenenace)'!G33+3000</f>
        <v>9500</v>
      </c>
      <c r="F7" s="45">
        <f>'Annual income (maintenenace)'!H33</f>
        <v>13200</v>
      </c>
      <c r="G7" s="45">
        <f>'Annual income (maintenenace)'!I33</f>
        <v>9500</v>
      </c>
      <c r="H7" s="45">
        <f>'Annual income (maintenenace)'!J33</f>
        <v>13800</v>
      </c>
      <c r="I7" s="45">
        <f>'Annual income (maintenenace)'!K33</f>
        <v>6000</v>
      </c>
      <c r="J7" s="45">
        <f>'Annual income (maintenenace)'!L33</f>
        <v>0</v>
      </c>
      <c r="K7" s="45">
        <f>'Annual income (maintenenace)'!M33</f>
        <v>0</v>
      </c>
      <c r="L7" s="45">
        <f>'Annual income (maintenenace)'!N33</f>
        <v>0</v>
      </c>
      <c r="M7" s="45">
        <f>'Annual income (maintenenace)'!O33</f>
        <v>0</v>
      </c>
      <c r="N7" s="45">
        <f>'Annual income (maintenenace)'!P33</f>
        <v>0</v>
      </c>
      <c r="O7" s="45">
        <f>'Annual income (maintenenace)'!Q33</f>
        <v>0</v>
      </c>
      <c r="Q7" s="45">
        <f>SUM(D7:O7)</f>
        <v>67500</v>
      </c>
      <c r="R7" s="52">
        <f t="shared" ref="R7:R8" si="1">O7-Q7</f>
        <v>-67500</v>
      </c>
    </row>
    <row r="8" spans="2:18" ht="18.399999999999999" thickBot="1" x14ac:dyDescent="0.5">
      <c r="B8" s="25">
        <v>3</v>
      </c>
      <c r="C8" s="39" t="s">
        <v>21</v>
      </c>
      <c r="D8" s="45">
        <f>January!R26</f>
        <v>-9925</v>
      </c>
      <c r="E8" s="45">
        <f>Feb.!T26</f>
        <v>-30605</v>
      </c>
      <c r="F8" s="45">
        <f>Mar.!T24</f>
        <v>-11140</v>
      </c>
      <c r="G8" s="45">
        <f>Apr.!S18</f>
        <v>-9080</v>
      </c>
      <c r="H8" s="45">
        <f>'Annual expenses (combined)'!H36</f>
        <v>0</v>
      </c>
      <c r="I8" s="45">
        <f>'Annual expenses (combined)'!I36</f>
        <v>0</v>
      </c>
      <c r="J8" s="45">
        <f>'Annual expenses (combined)'!J36</f>
        <v>0</v>
      </c>
      <c r="K8" s="45">
        <f>'Annual expenses (combined)'!K36</f>
        <v>0</v>
      </c>
      <c r="L8" s="45">
        <f>'Annual expenses (combined)'!L36</f>
        <v>0</v>
      </c>
      <c r="M8" s="45">
        <f>'Annual expenses (combined)'!M36</f>
        <v>0</v>
      </c>
      <c r="N8" s="45">
        <f>'Annual expenses (combined)'!N36</f>
        <v>0</v>
      </c>
      <c r="O8" s="45">
        <f>'Annual expenses (combined)'!O36</f>
        <v>0</v>
      </c>
      <c r="Q8" s="45">
        <f>SUM(D8:P8)</f>
        <v>-60750</v>
      </c>
      <c r="R8" s="52">
        <f t="shared" si="1"/>
        <v>60750</v>
      </c>
    </row>
    <row r="9" spans="2:18" ht="32.1" customHeight="1" thickBot="1" x14ac:dyDescent="1.1000000000000001">
      <c r="B9" s="24"/>
      <c r="C9" s="71" t="s">
        <v>22</v>
      </c>
      <c r="D9" s="50">
        <f>SUM(D6:D8)</f>
        <v>51346</v>
      </c>
      <c r="E9" s="51">
        <f t="shared" ref="E9:O9" si="2">SUM(E6:E8)</f>
        <v>30241</v>
      </c>
      <c r="F9" s="51">
        <f t="shared" si="2"/>
        <v>32301</v>
      </c>
      <c r="G9" s="51">
        <f t="shared" si="2"/>
        <v>32721</v>
      </c>
      <c r="H9" s="51">
        <f t="shared" si="2"/>
        <v>46521</v>
      </c>
      <c r="I9" s="51">
        <f t="shared" si="2"/>
        <v>52521</v>
      </c>
      <c r="J9" s="51">
        <f t="shared" si="2"/>
        <v>52521</v>
      </c>
      <c r="K9" s="51">
        <f t="shared" si="2"/>
        <v>52521</v>
      </c>
      <c r="L9" s="51">
        <f t="shared" si="2"/>
        <v>52521</v>
      </c>
      <c r="M9" s="51">
        <f t="shared" si="2"/>
        <v>52521</v>
      </c>
      <c r="N9" s="51">
        <f t="shared" si="2"/>
        <v>52521</v>
      </c>
      <c r="O9" s="51">
        <f t="shared" si="2"/>
        <v>52521</v>
      </c>
      <c r="Q9" s="51">
        <f>SUM(Q6:Q8)</f>
        <v>52521</v>
      </c>
      <c r="R9" s="112" t="b">
        <f>O9=Q9</f>
        <v>1</v>
      </c>
    </row>
    <row r="10" spans="2:18" x14ac:dyDescent="0.45"/>
    <row r="11" spans="2:18" ht="33.4" x14ac:dyDescent="0.45">
      <c r="B11" s="166" t="s">
        <v>23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</row>
    <row r="12" spans="2:18" ht="7.15" customHeight="1" thickBot="1" x14ac:dyDescent="0.5"/>
    <row r="13" spans="2:18" ht="35.65" thickBot="1" x14ac:dyDescent="0.5">
      <c r="B13" s="23" t="s">
        <v>16</v>
      </c>
      <c r="C13" s="69" t="s">
        <v>17</v>
      </c>
      <c r="D13" s="113" t="s">
        <v>0</v>
      </c>
      <c r="E13" s="113" t="s">
        <v>1</v>
      </c>
      <c r="F13" s="113" t="s">
        <v>2</v>
      </c>
      <c r="G13" s="113" t="s">
        <v>3</v>
      </c>
      <c r="H13" s="113" t="s">
        <v>166</v>
      </c>
      <c r="I13" s="113" t="s">
        <v>167</v>
      </c>
      <c r="J13" s="113" t="s">
        <v>175</v>
      </c>
      <c r="K13" s="113" t="s">
        <v>176</v>
      </c>
      <c r="L13" s="113" t="s">
        <v>177</v>
      </c>
      <c r="M13" s="113" t="s">
        <v>178</v>
      </c>
      <c r="N13" s="113" t="s">
        <v>179</v>
      </c>
      <c r="O13" s="113" t="s">
        <v>180</v>
      </c>
      <c r="Q13" s="24" t="s">
        <v>18</v>
      </c>
    </row>
    <row r="14" spans="2:18" ht="18" x14ac:dyDescent="0.45">
      <c r="B14" s="25">
        <v>1</v>
      </c>
      <c r="C14" s="38" t="s">
        <v>19</v>
      </c>
      <c r="D14" s="45">
        <f>January!R30</f>
        <v>35180</v>
      </c>
      <c r="E14" s="45">
        <f t="shared" ref="E14:O14" si="3">D17</f>
        <v>37280</v>
      </c>
      <c r="F14" s="45">
        <f t="shared" si="3"/>
        <v>37580</v>
      </c>
      <c r="G14" s="45">
        <f t="shared" si="3"/>
        <v>39180</v>
      </c>
      <c r="H14" s="45">
        <f t="shared" si="3"/>
        <v>40080</v>
      </c>
      <c r="I14" s="45">
        <f>H17</f>
        <v>39880</v>
      </c>
      <c r="J14" s="45">
        <f t="shared" si="3"/>
        <v>40780</v>
      </c>
      <c r="K14" s="45">
        <f t="shared" si="3"/>
        <v>40780</v>
      </c>
      <c r="L14" s="45">
        <f t="shared" si="3"/>
        <v>40780</v>
      </c>
      <c r="M14" s="45">
        <f t="shared" si="3"/>
        <v>40780</v>
      </c>
      <c r="N14" s="45">
        <f t="shared" si="3"/>
        <v>40780</v>
      </c>
      <c r="O14" s="45">
        <f t="shared" si="3"/>
        <v>40780</v>
      </c>
      <c r="Q14" s="45">
        <f>D14</f>
        <v>35180</v>
      </c>
    </row>
    <row r="15" spans="2:18" ht="18" x14ac:dyDescent="0.45">
      <c r="B15" s="25">
        <v>2</v>
      </c>
      <c r="C15" s="38" t="s">
        <v>20</v>
      </c>
      <c r="D15" s="45">
        <f>'Annual income ( Elevator)'!F33</f>
        <v>2800</v>
      </c>
      <c r="E15" s="45">
        <f>'Annual income ( Elevator)'!G33</f>
        <v>1000</v>
      </c>
      <c r="F15" s="45">
        <f>'Annual income ( Elevator)'!H33</f>
        <v>2300</v>
      </c>
      <c r="G15" s="45">
        <f>'Annual income ( Elevator)'!I33</f>
        <v>1600</v>
      </c>
      <c r="H15" s="45">
        <f>'Annual income ( Elevator)'!J33</f>
        <v>1500</v>
      </c>
      <c r="I15" s="45">
        <f>'Annual income ( Elevator)'!K33</f>
        <v>900</v>
      </c>
      <c r="J15" s="45">
        <f>'Annual income ( Elevator)'!L33</f>
        <v>0</v>
      </c>
      <c r="K15" s="45">
        <f>'Annual income ( Elevator)'!M33</f>
        <v>0</v>
      </c>
      <c r="L15" s="45">
        <f>'Annual income ( Elevator)'!N33</f>
        <v>0</v>
      </c>
      <c r="M15" s="45">
        <f>'Annual income ( Elevator)'!O33</f>
        <v>0</v>
      </c>
      <c r="N15" s="45">
        <f>'Annual income ( Elevator)'!P33</f>
        <v>0</v>
      </c>
      <c r="O15" s="45">
        <f>'Annual income ( Elevator)'!Q33</f>
        <v>0</v>
      </c>
      <c r="Q15" s="45">
        <f>SUM(D15:O15)</f>
        <v>10100</v>
      </c>
    </row>
    <row r="16" spans="2:18" ht="18.399999999999999" thickBot="1" x14ac:dyDescent="0.5">
      <c r="B16" s="25">
        <v>3</v>
      </c>
      <c r="C16" s="39" t="s">
        <v>21</v>
      </c>
      <c r="D16" s="45">
        <f>'Annual expenses (combined)'!D38</f>
        <v>-700</v>
      </c>
      <c r="E16" s="45">
        <f>'Annual expenses (combined)'!E38</f>
        <v>-700</v>
      </c>
      <c r="F16" s="45">
        <f>'Annual expenses (combined)'!F38</f>
        <v>-700</v>
      </c>
      <c r="G16" s="45">
        <f>'Annual expenses (combined)'!G38</f>
        <v>-700</v>
      </c>
      <c r="H16" s="45">
        <f>'Annual expenses (combined)'!H38</f>
        <v>-1700</v>
      </c>
      <c r="I16" s="45">
        <f>'Annual expenses (combined)'!I38</f>
        <v>0</v>
      </c>
      <c r="J16" s="45">
        <f>'Annual expenses (combined)'!J38</f>
        <v>0</v>
      </c>
      <c r="K16" s="45">
        <f>'Annual expenses (combined)'!K38</f>
        <v>0</v>
      </c>
      <c r="L16" s="45">
        <f>'Annual expenses (combined)'!L38</f>
        <v>0</v>
      </c>
      <c r="M16" s="45">
        <f>'Annual expenses (combined)'!M38</f>
        <v>0</v>
      </c>
      <c r="N16" s="45">
        <f>'Annual expenses (combined)'!N38</f>
        <v>0</v>
      </c>
      <c r="O16" s="45">
        <f>'Annual expenses (combined)'!O38</f>
        <v>0</v>
      </c>
      <c r="Q16" s="45">
        <f>SUM(D16:P16)</f>
        <v>-4500</v>
      </c>
    </row>
    <row r="17" spans="2:18" ht="32.1" customHeight="1" thickBot="1" x14ac:dyDescent="1.1000000000000001">
      <c r="B17" s="24"/>
      <c r="C17" s="71" t="s">
        <v>22</v>
      </c>
      <c r="D17" s="50">
        <f>SUM(D14:D16)</f>
        <v>37280</v>
      </c>
      <c r="E17" s="51">
        <f t="shared" ref="E17:O17" si="4">SUM(E14:E16)</f>
        <v>37580</v>
      </c>
      <c r="F17" s="51">
        <f t="shared" si="4"/>
        <v>39180</v>
      </c>
      <c r="G17" s="51">
        <f t="shared" si="4"/>
        <v>40080</v>
      </c>
      <c r="H17" s="51">
        <f t="shared" si="4"/>
        <v>39880</v>
      </c>
      <c r="I17" s="51">
        <f t="shared" si="4"/>
        <v>40780</v>
      </c>
      <c r="J17" s="51">
        <f t="shared" si="4"/>
        <v>40780</v>
      </c>
      <c r="K17" s="51">
        <f t="shared" si="4"/>
        <v>40780</v>
      </c>
      <c r="L17" s="51">
        <f t="shared" si="4"/>
        <v>40780</v>
      </c>
      <c r="M17" s="51">
        <f t="shared" si="4"/>
        <v>40780</v>
      </c>
      <c r="N17" s="51">
        <f t="shared" si="4"/>
        <v>40780</v>
      </c>
      <c r="O17" s="51">
        <f t="shared" si="4"/>
        <v>40780</v>
      </c>
      <c r="Q17" s="51">
        <f>SUM(Q14:Q16)</f>
        <v>40780</v>
      </c>
      <c r="R17" s="112" t="b">
        <f>O17=Q17</f>
        <v>1</v>
      </c>
    </row>
    <row r="18" spans="2:18" x14ac:dyDescent="0.45"/>
    <row r="19" spans="2:18" ht="33.4" x14ac:dyDescent="0.45">
      <c r="B19" s="166" t="s">
        <v>24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/>
    </row>
    <row r="20" spans="2:18" s="48" customFormat="1" ht="14.65" thickBot="1" x14ac:dyDescent="0.5">
      <c r="B20"/>
      <c r="C20"/>
      <c r="D20"/>
    </row>
    <row r="21" spans="2:18" s="48" customFormat="1" ht="35.65" thickBot="1" x14ac:dyDescent="0.5">
      <c r="B21" s="23" t="s">
        <v>16</v>
      </c>
      <c r="C21" s="69" t="s">
        <v>17</v>
      </c>
      <c r="D21" s="113" t="s">
        <v>0</v>
      </c>
      <c r="E21" s="113" t="s">
        <v>1</v>
      </c>
      <c r="F21" s="113" t="s">
        <v>2</v>
      </c>
      <c r="G21" s="113" t="s">
        <v>3</v>
      </c>
      <c r="H21" s="113" t="s">
        <v>166</v>
      </c>
      <c r="I21" s="113" t="s">
        <v>167</v>
      </c>
      <c r="J21" s="113" t="s">
        <v>175</v>
      </c>
      <c r="K21" s="113" t="s">
        <v>176</v>
      </c>
      <c r="L21" s="113" t="s">
        <v>177</v>
      </c>
      <c r="M21" s="113" t="s">
        <v>178</v>
      </c>
      <c r="N21" s="113" t="s">
        <v>179</v>
      </c>
      <c r="O21" s="113" t="s">
        <v>180</v>
      </c>
      <c r="Q21" s="24" t="s">
        <v>18</v>
      </c>
    </row>
    <row r="22" spans="2:18" s="48" customFormat="1" ht="18" x14ac:dyDescent="0.45">
      <c r="B22" s="25">
        <v>1</v>
      </c>
      <c r="C22" s="38" t="s">
        <v>19</v>
      </c>
      <c r="D22" s="45">
        <f t="shared" ref="D22:O22" si="5">D6+D14</f>
        <v>80951</v>
      </c>
      <c r="E22" s="45">
        <f>E6+E14</f>
        <v>88626</v>
      </c>
      <c r="F22" s="45">
        <f t="shared" si="5"/>
        <v>67821</v>
      </c>
      <c r="G22" s="45">
        <f t="shared" si="5"/>
        <v>71481</v>
      </c>
      <c r="H22" s="45">
        <f t="shared" si="5"/>
        <v>72801</v>
      </c>
      <c r="I22" s="45">
        <f>I6+I14</f>
        <v>86401</v>
      </c>
      <c r="J22" s="45">
        <f t="shared" si="5"/>
        <v>93301</v>
      </c>
      <c r="K22" s="45">
        <f t="shared" si="5"/>
        <v>93301</v>
      </c>
      <c r="L22" s="45">
        <f t="shared" si="5"/>
        <v>93301</v>
      </c>
      <c r="M22" s="45">
        <f t="shared" si="5"/>
        <v>93301</v>
      </c>
      <c r="N22" s="45">
        <f t="shared" si="5"/>
        <v>93301</v>
      </c>
      <c r="O22" s="45">
        <f t="shared" si="5"/>
        <v>93301</v>
      </c>
      <c r="Q22" s="45">
        <f>D22</f>
        <v>80951</v>
      </c>
    </row>
    <row r="23" spans="2:18" s="48" customFormat="1" ht="18" x14ac:dyDescent="0.45">
      <c r="B23" s="25">
        <v>2</v>
      </c>
      <c r="C23" s="38" t="s">
        <v>20</v>
      </c>
      <c r="D23" s="45">
        <f t="shared" ref="D23:O23" si="6">D7+D15</f>
        <v>18300</v>
      </c>
      <c r="E23" s="45">
        <f t="shared" si="6"/>
        <v>10500</v>
      </c>
      <c r="F23" s="45">
        <f t="shared" si="6"/>
        <v>15500</v>
      </c>
      <c r="G23" s="45">
        <f t="shared" si="6"/>
        <v>11100</v>
      </c>
      <c r="H23" s="45">
        <f t="shared" si="6"/>
        <v>15300</v>
      </c>
      <c r="I23" s="45">
        <f t="shared" si="6"/>
        <v>6900</v>
      </c>
      <c r="J23" s="45">
        <f t="shared" si="6"/>
        <v>0</v>
      </c>
      <c r="K23" s="45">
        <f t="shared" si="6"/>
        <v>0</v>
      </c>
      <c r="L23" s="45">
        <f t="shared" si="6"/>
        <v>0</v>
      </c>
      <c r="M23" s="45">
        <f t="shared" si="6"/>
        <v>0</v>
      </c>
      <c r="N23" s="45">
        <f t="shared" si="6"/>
        <v>0</v>
      </c>
      <c r="O23" s="45">
        <f t="shared" si="6"/>
        <v>0</v>
      </c>
      <c r="Q23" s="45">
        <f>SUM(D23:O23)</f>
        <v>77600</v>
      </c>
    </row>
    <row r="24" spans="2:18" s="48" customFormat="1" ht="18.399999999999999" thickBot="1" x14ac:dyDescent="0.5">
      <c r="B24" s="25">
        <v>3</v>
      </c>
      <c r="C24" s="39" t="s">
        <v>21</v>
      </c>
      <c r="D24" s="45">
        <f t="shared" ref="D24:O24" si="7">D8+D16</f>
        <v>-10625</v>
      </c>
      <c r="E24" s="45">
        <f t="shared" si="7"/>
        <v>-31305</v>
      </c>
      <c r="F24" s="45">
        <f t="shared" si="7"/>
        <v>-11840</v>
      </c>
      <c r="G24" s="45">
        <f t="shared" si="7"/>
        <v>-9780</v>
      </c>
      <c r="H24" s="45">
        <f t="shared" si="7"/>
        <v>-1700</v>
      </c>
      <c r="I24" s="45">
        <f t="shared" si="7"/>
        <v>0</v>
      </c>
      <c r="J24" s="45">
        <f t="shared" si="7"/>
        <v>0</v>
      </c>
      <c r="K24" s="45">
        <f t="shared" si="7"/>
        <v>0</v>
      </c>
      <c r="L24" s="45">
        <f t="shared" si="7"/>
        <v>0</v>
      </c>
      <c r="M24" s="45">
        <f t="shared" si="7"/>
        <v>0</v>
      </c>
      <c r="N24" s="45">
        <f t="shared" si="7"/>
        <v>0</v>
      </c>
      <c r="O24" s="45">
        <f t="shared" si="7"/>
        <v>0</v>
      </c>
      <c r="Q24" s="45">
        <f>SUM(D24:P24)</f>
        <v>-65250</v>
      </c>
    </row>
    <row r="25" spans="2:18" ht="32.1" customHeight="1" thickBot="1" x14ac:dyDescent="1.1000000000000001">
      <c r="B25" s="24"/>
      <c r="C25" s="71" t="s">
        <v>22</v>
      </c>
      <c r="D25" s="50">
        <f>SUM(D22:D24)</f>
        <v>88626</v>
      </c>
      <c r="E25" s="51">
        <f t="shared" ref="E25:O25" si="8">SUM(E22:E24)</f>
        <v>67821</v>
      </c>
      <c r="F25" s="51">
        <f t="shared" si="8"/>
        <v>71481</v>
      </c>
      <c r="G25" s="51">
        <f t="shared" si="8"/>
        <v>72801</v>
      </c>
      <c r="H25" s="51">
        <f t="shared" si="8"/>
        <v>86401</v>
      </c>
      <c r="I25" s="51">
        <f>SUM(I22:I24)</f>
        <v>93301</v>
      </c>
      <c r="J25" s="51">
        <f t="shared" si="8"/>
        <v>93301</v>
      </c>
      <c r="K25" s="51">
        <f t="shared" si="8"/>
        <v>93301</v>
      </c>
      <c r="L25" s="51">
        <f t="shared" si="8"/>
        <v>93301</v>
      </c>
      <c r="M25" s="51">
        <f t="shared" si="8"/>
        <v>93301</v>
      </c>
      <c r="N25" s="51">
        <f t="shared" si="8"/>
        <v>93301</v>
      </c>
      <c r="O25" s="51">
        <f t="shared" si="8"/>
        <v>93301</v>
      </c>
      <c r="Q25" s="51">
        <f>SUM(Q22:Q24)</f>
        <v>93301</v>
      </c>
      <c r="R25" s="112" t="b">
        <f>O25=Q25</f>
        <v>1</v>
      </c>
    </row>
    <row r="26" spans="2:18" x14ac:dyDescent="0.45"/>
    <row r="27" spans="2:18" ht="45.95" customHeight="1" x14ac:dyDescent="1.05">
      <c r="D27" s="112" t="b">
        <f>D25=January!T35</f>
        <v>1</v>
      </c>
      <c r="E27" s="112" t="b">
        <f>E25=Feb.!T35</f>
        <v>1</v>
      </c>
      <c r="F27" s="112" t="b">
        <f>Mar.!T33=F25</f>
        <v>1</v>
      </c>
      <c r="G27" s="112" t="b">
        <f>G25=Apr.!S35</f>
        <v>1</v>
      </c>
      <c r="H27" s="112" t="b">
        <f>May!S35=H25</f>
        <v>0</v>
      </c>
      <c r="I27" s="112" t="b">
        <f>Jun!S35=I25</f>
        <v>0</v>
      </c>
      <c r="J27" s="112" t="b">
        <f>Jul!S35=J25</f>
        <v>0</v>
      </c>
      <c r="K27" s="112" t="b">
        <f>Aug!S35=K25</f>
        <v>0</v>
      </c>
      <c r="L27" s="112" t="b">
        <f>Sep!S37=L25</f>
        <v>0</v>
      </c>
      <c r="M27" s="112" t="b">
        <f>Oct!S35=M25</f>
        <v>0</v>
      </c>
      <c r="N27" s="112" t="b">
        <f>Nov!S35=N25</f>
        <v>0</v>
      </c>
      <c r="O27" s="112" t="b">
        <f>Dec!S35=O25</f>
        <v>0</v>
      </c>
      <c r="P27" s="112" t="b">
        <f>Jun!Z35=P25</f>
        <v>1</v>
      </c>
    </row>
    <row r="28" spans="2:18" x14ac:dyDescent="0.45">
      <c r="E28"/>
      <c r="F28" s="52"/>
    </row>
    <row r="29" spans="2:18" x14ac:dyDescent="0.45"/>
    <row r="30" spans="2:18" x14ac:dyDescent="0.45"/>
    <row r="31" spans="2:18" x14ac:dyDescent="0.45"/>
    <row r="32" spans="2:18" x14ac:dyDescent="0.45"/>
    <row r="33" x14ac:dyDescent="0.45"/>
  </sheetData>
  <mergeCells count="3">
    <mergeCell ref="B3:Q3"/>
    <mergeCell ref="B11:Q11"/>
    <mergeCell ref="B19:Q19"/>
  </mergeCells>
  <pageMargins left="0.7" right="0.7" top="0.75" bottom="0.75" header="0.3" footer="0.3"/>
  <pageSetup scale="4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7F01-5B81-4611-819F-85AD4D670F9D}">
  <sheetPr>
    <pageSetUpPr fitToPage="1"/>
  </sheetPr>
  <dimension ref="A1:AB40"/>
  <sheetViews>
    <sheetView showGridLines="0" topLeftCell="C1" zoomScale="55" zoomScaleNormal="55" workbookViewId="0">
      <selection activeCell="D7" sqref="D7:D32"/>
    </sheetView>
  </sheetViews>
  <sheetFormatPr defaultColWidth="0" defaultRowHeight="0" customHeight="1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2" width="15.59765625" style="36" customWidth="1"/>
    <col min="13" max="15" width="18.3984375" style="36" customWidth="1"/>
    <col min="16" max="17" width="18.3984375" customWidth="1"/>
    <col min="18" max="20" width="15.59765625" customWidth="1"/>
    <col min="21" max="21" width="15.59765625" hidden="1" customWidth="1"/>
    <col min="22" max="22" width="14.86328125" hidden="1" customWidth="1"/>
    <col min="23" max="23" width="15" hidden="1" customWidth="1"/>
    <col min="24" max="24" width="45.265625" hidden="1" customWidth="1"/>
    <col min="25" max="25" width="19" hidden="1" customWidth="1"/>
    <col min="26" max="27" width="9.1328125" hidden="1" customWidth="1"/>
    <col min="28" max="28" width="14.3984375" hidden="1" customWidth="1"/>
    <col min="29" max="16384" width="9.1328125" hidden="1"/>
  </cols>
  <sheetData>
    <row r="1" spans="3:18" ht="14.25" x14ac:dyDescent="0.45"/>
    <row r="2" spans="3:18" ht="14.25" x14ac:dyDescent="0.45"/>
    <row r="3" spans="3:18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</row>
    <row r="4" spans="3:18" ht="23.25" x14ac:dyDescent="0.7">
      <c r="C4" s="162" t="s">
        <v>200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3:18" ht="4.5" customHeight="1" thickBot="1" x14ac:dyDescent="0.5"/>
    <row r="6" spans="3:18" ht="46.5" customHeight="1" thickBot="1" x14ac:dyDescent="0.5">
      <c r="C6" s="27" t="s">
        <v>16</v>
      </c>
      <c r="D6" s="28" t="s">
        <v>26</v>
      </c>
      <c r="E6" s="29" t="s">
        <v>27</v>
      </c>
      <c r="F6" s="133" t="s">
        <v>0</v>
      </c>
      <c r="G6" s="133" t="s">
        <v>1</v>
      </c>
      <c r="H6" s="133" t="s">
        <v>2</v>
      </c>
      <c r="I6" s="133" t="s">
        <v>3</v>
      </c>
      <c r="J6" s="133" t="s">
        <v>166</v>
      </c>
      <c r="K6" s="133" t="s">
        <v>167</v>
      </c>
      <c r="L6" s="133" t="s">
        <v>175</v>
      </c>
      <c r="M6" s="133" t="s">
        <v>176</v>
      </c>
      <c r="N6" s="133" t="s">
        <v>177</v>
      </c>
      <c r="O6" s="133" t="s">
        <v>178</v>
      </c>
      <c r="P6" s="133" t="s">
        <v>179</v>
      </c>
      <c r="Q6" s="133" t="s">
        <v>180</v>
      </c>
      <c r="R6" s="43" t="s">
        <v>28</v>
      </c>
    </row>
    <row r="7" spans="3:18" ht="18" x14ac:dyDescent="0.45">
      <c r="C7" s="79">
        <v>1</v>
      </c>
      <c r="D7" s="37" t="s">
        <v>29</v>
      </c>
      <c r="E7" s="40" t="s">
        <v>30</v>
      </c>
      <c r="F7" s="72">
        <f>'Annual Income (Combined)'!F7</f>
        <v>500</v>
      </c>
      <c r="G7" s="72">
        <f>'Annual Income (Combined)'!G7</f>
        <v>0</v>
      </c>
      <c r="H7" s="72">
        <f>'Annual Income (Combined)'!H7</f>
        <v>500</v>
      </c>
      <c r="I7" s="72">
        <f>'Annual Income (Combined)'!I7</f>
        <v>500</v>
      </c>
      <c r="J7" s="72">
        <f>'Annual Income (Combined)'!J7</f>
        <v>500</v>
      </c>
      <c r="K7" s="72">
        <f>'Annual Income (Combined)'!K7</f>
        <v>500</v>
      </c>
      <c r="L7" s="72">
        <f>'Annual Income (Combined)'!L7</f>
        <v>0</v>
      </c>
      <c r="M7" s="72">
        <f>'Annual Income (Combined)'!M7</f>
        <v>0</v>
      </c>
      <c r="N7" s="72">
        <f>'Annual Income (Combined)'!N7</f>
        <v>0</v>
      </c>
      <c r="O7" s="72">
        <f>'Annual Income (Combined)'!O7</f>
        <v>0</v>
      </c>
      <c r="P7" s="72">
        <f>'Annual Income (Combined)'!P7</f>
        <v>0</v>
      </c>
      <c r="Q7" s="72">
        <f>'Annual Income (Combined)'!Q7</f>
        <v>0</v>
      </c>
      <c r="R7" s="37">
        <f t="shared" ref="R7:R32" si="0">SUM(F7:Q7)</f>
        <v>2500</v>
      </c>
    </row>
    <row r="8" spans="3:18" ht="18" x14ac:dyDescent="0.45">
      <c r="C8" s="79">
        <v>2</v>
      </c>
      <c r="D8" s="37" t="s">
        <v>194</v>
      </c>
      <c r="E8" s="40" t="s">
        <v>31</v>
      </c>
      <c r="F8" s="72">
        <f>'Annual Income (Combined)'!F8</f>
        <v>500</v>
      </c>
      <c r="G8" s="72">
        <f>'Annual Income (Combined)'!G8</f>
        <v>500</v>
      </c>
      <c r="H8" s="72">
        <f>'Annual Income (Combined)'!H8</f>
        <v>500</v>
      </c>
      <c r="I8" s="72">
        <f>'Annual Income (Combined)'!I8</f>
        <v>500</v>
      </c>
      <c r="J8" s="72">
        <f>'Annual Income (Combined)'!J8</f>
        <v>500</v>
      </c>
      <c r="K8" s="72">
        <f>'Annual Income (Combined)'!K8</f>
        <v>500</v>
      </c>
      <c r="L8" s="72">
        <f>'Annual Income (Combined)'!L8</f>
        <v>0</v>
      </c>
      <c r="M8" s="72">
        <f>'Annual Income (Combined)'!M8</f>
        <v>0</v>
      </c>
      <c r="N8" s="72">
        <f>'Annual Income (Combined)'!N8</f>
        <v>0</v>
      </c>
      <c r="O8" s="72">
        <f>'Annual Income (Combined)'!O8</f>
        <v>0</v>
      </c>
      <c r="P8" s="72">
        <f>'Annual Income (Combined)'!P8</f>
        <v>0</v>
      </c>
      <c r="Q8" s="72">
        <f>'Annual Income (Combined)'!Q8</f>
        <v>0</v>
      </c>
      <c r="R8" s="37">
        <f t="shared" si="0"/>
        <v>3000</v>
      </c>
    </row>
    <row r="9" spans="3:18" ht="18" x14ac:dyDescent="0.45">
      <c r="C9" s="79">
        <v>3</v>
      </c>
      <c r="D9" s="37" t="s">
        <v>32</v>
      </c>
      <c r="E9" s="40" t="s">
        <v>33</v>
      </c>
      <c r="F9" s="72">
        <f>'Annual Income (Combined)'!F9</f>
        <v>0</v>
      </c>
      <c r="G9" s="72">
        <f>'Annual Income (Combined)'!G9</f>
        <v>0</v>
      </c>
      <c r="H9" s="72">
        <f>'Annual Income (Combined)'!H9</f>
        <v>0</v>
      </c>
      <c r="I9" s="72">
        <f>'Annual Income (Combined)'!I9</f>
        <v>0</v>
      </c>
      <c r="J9" s="72">
        <f>'Annual Income (Combined)'!J9</f>
        <v>0</v>
      </c>
      <c r="K9" s="72">
        <f>'Annual Income (Combined)'!K9</f>
        <v>0</v>
      </c>
      <c r="L9" s="72">
        <f>'Annual Income (Combined)'!L9</f>
        <v>0</v>
      </c>
      <c r="M9" s="72">
        <f>'Annual Income (Combined)'!M9</f>
        <v>0</v>
      </c>
      <c r="N9" s="72">
        <f>'Annual Income (Combined)'!N9</f>
        <v>0</v>
      </c>
      <c r="O9" s="72">
        <f>'Annual Income (Combined)'!O9</f>
        <v>0</v>
      </c>
      <c r="P9" s="72">
        <f>'Annual Income (Combined)'!P9</f>
        <v>0</v>
      </c>
      <c r="Q9" s="72">
        <f>'Annual Income (Combined)'!Q9</f>
        <v>0</v>
      </c>
      <c r="R9" s="37">
        <f t="shared" si="0"/>
        <v>0</v>
      </c>
    </row>
    <row r="10" spans="3:18" ht="18" x14ac:dyDescent="0.45">
      <c r="C10" s="79">
        <v>4</v>
      </c>
      <c r="D10" s="37" t="s">
        <v>34</v>
      </c>
      <c r="E10" s="40" t="s">
        <v>35</v>
      </c>
      <c r="F10" s="72">
        <f>'Annual Income (Combined)'!F10</f>
        <v>500</v>
      </c>
      <c r="G10" s="72">
        <f>'Annual Income (Combined)'!G10</f>
        <v>500</v>
      </c>
      <c r="H10" s="72">
        <f>'Annual Income (Combined)'!H10</f>
        <v>500</v>
      </c>
      <c r="I10" s="72">
        <f>'Annual Income (Combined)'!I10</f>
        <v>500</v>
      </c>
      <c r="J10" s="72">
        <f>'Annual Income (Combined)'!J10</f>
        <v>500</v>
      </c>
      <c r="K10" s="72">
        <f>'Annual Income (Combined)'!K10</f>
        <v>500</v>
      </c>
      <c r="L10" s="72">
        <f>'Annual Income (Combined)'!L10</f>
        <v>0</v>
      </c>
      <c r="M10" s="72">
        <f>'Annual Income (Combined)'!M10</f>
        <v>0</v>
      </c>
      <c r="N10" s="72">
        <f>'Annual Income (Combined)'!N10</f>
        <v>0</v>
      </c>
      <c r="O10" s="72">
        <f>'Annual Income (Combined)'!O10</f>
        <v>0</v>
      </c>
      <c r="P10" s="72">
        <f>'Annual Income (Combined)'!P10</f>
        <v>0</v>
      </c>
      <c r="Q10" s="72">
        <f>'Annual Income (Combined)'!Q10</f>
        <v>0</v>
      </c>
      <c r="R10" s="37">
        <f t="shared" si="0"/>
        <v>3000</v>
      </c>
    </row>
    <row r="11" spans="3:18" ht="18" x14ac:dyDescent="0.45">
      <c r="C11" s="79">
        <v>5</v>
      </c>
      <c r="D11" s="37" t="s">
        <v>36</v>
      </c>
      <c r="E11" s="40" t="s">
        <v>37</v>
      </c>
      <c r="F11" s="72">
        <f>'Annual Income (Combined)'!F11</f>
        <v>600</v>
      </c>
      <c r="G11" s="72">
        <f>'Annual Income (Combined)'!G11</f>
        <v>600</v>
      </c>
      <c r="H11" s="72">
        <f>'Annual Income (Combined)'!H11</f>
        <v>1200</v>
      </c>
      <c r="I11" s="72">
        <f>'Annual Income (Combined)'!I11</f>
        <v>600</v>
      </c>
      <c r="J11" s="72">
        <f>'Annual Income (Combined)'!J11</f>
        <v>600</v>
      </c>
      <c r="K11" s="72">
        <f>'Annual Income (Combined)'!K11</f>
        <v>600</v>
      </c>
      <c r="L11" s="72">
        <f>'Annual Income (Combined)'!L11</f>
        <v>0</v>
      </c>
      <c r="M11" s="72">
        <f>'Annual Income (Combined)'!M11</f>
        <v>0</v>
      </c>
      <c r="N11" s="72">
        <f>'Annual Income (Combined)'!N11</f>
        <v>0</v>
      </c>
      <c r="O11" s="72">
        <f>'Annual Income (Combined)'!O11</f>
        <v>0</v>
      </c>
      <c r="P11" s="72">
        <f>'Annual Income (Combined)'!P11</f>
        <v>0</v>
      </c>
      <c r="Q11" s="72">
        <f>'Annual Income (Combined)'!Q11</f>
        <v>0</v>
      </c>
      <c r="R11" s="37">
        <f t="shared" si="0"/>
        <v>4200</v>
      </c>
    </row>
    <row r="12" spans="3:18" ht="18" x14ac:dyDescent="0.45">
      <c r="C12" s="79">
        <v>6</v>
      </c>
      <c r="D12" s="37" t="s">
        <v>38</v>
      </c>
      <c r="E12" s="40" t="s">
        <v>39</v>
      </c>
      <c r="F12" s="72">
        <f>'Annual Income (Combined)'!F12</f>
        <v>600</v>
      </c>
      <c r="G12" s="72">
        <f>'Annual Income (Combined)'!G12</f>
        <v>600</v>
      </c>
      <c r="H12" s="72">
        <f>'Annual Income (Combined)'!H12</f>
        <v>600</v>
      </c>
      <c r="I12" s="72">
        <f>'Annual Income (Combined)'!I12</f>
        <v>600</v>
      </c>
      <c r="J12" s="72">
        <f>'Annual Income (Combined)'!J12</f>
        <v>600</v>
      </c>
      <c r="K12" s="72">
        <f>'Annual Income (Combined)'!K12</f>
        <v>600</v>
      </c>
      <c r="L12" s="72">
        <f>'Annual Income (Combined)'!L12</f>
        <v>0</v>
      </c>
      <c r="M12" s="72">
        <f>'Annual Income (Combined)'!M12</f>
        <v>0</v>
      </c>
      <c r="N12" s="72">
        <f>'Annual Income (Combined)'!N12</f>
        <v>0</v>
      </c>
      <c r="O12" s="72">
        <f>'Annual Income (Combined)'!O12</f>
        <v>0</v>
      </c>
      <c r="P12" s="72">
        <f>'Annual Income (Combined)'!P12</f>
        <v>0</v>
      </c>
      <c r="Q12" s="72">
        <f>'Annual Income (Combined)'!Q12</f>
        <v>0</v>
      </c>
      <c r="R12" s="37">
        <f t="shared" si="0"/>
        <v>3600</v>
      </c>
    </row>
    <row r="13" spans="3:18" ht="18" x14ac:dyDescent="0.45">
      <c r="C13" s="79">
        <v>7</v>
      </c>
      <c r="D13" s="37" t="s">
        <v>40</v>
      </c>
      <c r="E13" s="40" t="s">
        <v>41</v>
      </c>
      <c r="F13" s="72">
        <f>'Annual Income (Combined)'!F13</f>
        <v>0</v>
      </c>
      <c r="G13" s="72">
        <f>'Annual Income (Combined)'!G13</f>
        <v>0</v>
      </c>
      <c r="H13" s="72">
        <f>'Annual Income (Combined)'!H13</f>
        <v>0</v>
      </c>
      <c r="I13" s="72">
        <f>'Annual Income (Combined)'!I13</f>
        <v>0</v>
      </c>
      <c r="J13" s="72">
        <f>'Annual Income (Combined)'!J13</f>
        <v>4200</v>
      </c>
      <c r="K13" s="72">
        <f>'Annual Income (Combined)'!K13</f>
        <v>0</v>
      </c>
      <c r="L13" s="72">
        <f>'Annual Income (Combined)'!L13</f>
        <v>0</v>
      </c>
      <c r="M13" s="72">
        <f>'Annual Income (Combined)'!M13</f>
        <v>0</v>
      </c>
      <c r="N13" s="72">
        <f>'Annual Income (Combined)'!N13</f>
        <v>0</v>
      </c>
      <c r="O13" s="72">
        <f>'Annual Income (Combined)'!O13</f>
        <v>0</v>
      </c>
      <c r="P13" s="72">
        <f>'Annual Income (Combined)'!P13</f>
        <v>0</v>
      </c>
      <c r="Q13" s="72">
        <f>'Annual Income (Combined)'!Q13</f>
        <v>0</v>
      </c>
      <c r="R13" s="37">
        <f t="shared" si="0"/>
        <v>4200</v>
      </c>
    </row>
    <row r="14" spans="3:18" ht="18" x14ac:dyDescent="0.45">
      <c r="C14" s="79">
        <v>8</v>
      </c>
      <c r="D14" s="37" t="s">
        <v>42</v>
      </c>
      <c r="E14" s="41" t="s">
        <v>43</v>
      </c>
      <c r="F14" s="72">
        <f>'Annual Income (Combined)'!F14</f>
        <v>300</v>
      </c>
      <c r="G14" s="72">
        <f>'Annual Income (Combined)'!G14</f>
        <v>0</v>
      </c>
      <c r="H14" s="72">
        <f>'Annual Income (Combined)'!H14</f>
        <v>600</v>
      </c>
      <c r="I14" s="72">
        <f>'Annual Income (Combined)'!I14</f>
        <v>300</v>
      </c>
      <c r="J14" s="72">
        <f>'Annual Income (Combined)'!J14</f>
        <v>300</v>
      </c>
      <c r="K14" s="72">
        <f>'Annual Income (Combined)'!K14</f>
        <v>0</v>
      </c>
      <c r="L14" s="72">
        <f>'Annual Income (Combined)'!L14</f>
        <v>0</v>
      </c>
      <c r="M14" s="72">
        <f>'Annual Income (Combined)'!M14</f>
        <v>0</v>
      </c>
      <c r="N14" s="72">
        <f>'Annual Income (Combined)'!N14</f>
        <v>0</v>
      </c>
      <c r="O14" s="72">
        <f>'Annual Income (Combined)'!O14</f>
        <v>0</v>
      </c>
      <c r="P14" s="72">
        <f>'Annual Income (Combined)'!P14</f>
        <v>0</v>
      </c>
      <c r="Q14" s="72">
        <f>'Annual Income (Combined)'!Q14</f>
        <v>0</v>
      </c>
      <c r="R14" s="37">
        <f t="shared" si="0"/>
        <v>1500</v>
      </c>
    </row>
    <row r="15" spans="3:18" ht="18" x14ac:dyDescent="0.45">
      <c r="C15" s="79">
        <v>9</v>
      </c>
      <c r="D15" s="37" t="s">
        <v>44</v>
      </c>
      <c r="E15" s="41" t="s">
        <v>45</v>
      </c>
      <c r="F15" s="72">
        <f>'Annual Income (Combined)'!F15</f>
        <v>500</v>
      </c>
      <c r="G15" s="72">
        <f>'Annual Income (Combined)'!G15</f>
        <v>500</v>
      </c>
      <c r="H15" s="72">
        <f>'Annual Income (Combined)'!H15</f>
        <v>500</v>
      </c>
      <c r="I15" s="72">
        <f>'Annual Income (Combined)'!I15</f>
        <v>500</v>
      </c>
      <c r="J15" s="72">
        <f>'Annual Income (Combined)'!J15</f>
        <v>500</v>
      </c>
      <c r="K15" s="72">
        <f>'Annual Income (Combined)'!K15</f>
        <v>0</v>
      </c>
      <c r="L15" s="72">
        <f>'Annual Income (Combined)'!L15</f>
        <v>0</v>
      </c>
      <c r="M15" s="72">
        <f>'Annual Income (Combined)'!M15</f>
        <v>0</v>
      </c>
      <c r="N15" s="72">
        <f>'Annual Income (Combined)'!N15</f>
        <v>0</v>
      </c>
      <c r="O15" s="72">
        <f>'Annual Income (Combined)'!O15</f>
        <v>0</v>
      </c>
      <c r="P15" s="72">
        <f>'Annual Income (Combined)'!P15</f>
        <v>0</v>
      </c>
      <c r="Q15" s="72">
        <f>'Annual Income (Combined)'!Q15</f>
        <v>0</v>
      </c>
      <c r="R15" s="37">
        <f t="shared" si="0"/>
        <v>2500</v>
      </c>
    </row>
    <row r="16" spans="3:18" ht="18" x14ac:dyDescent="0.45">
      <c r="C16" s="79">
        <v>10</v>
      </c>
      <c r="D16" s="37" t="s">
        <v>46</v>
      </c>
      <c r="E16" s="41" t="s">
        <v>47</v>
      </c>
      <c r="F16" s="72">
        <f>'Annual Income (Combined)'!F16</f>
        <v>0</v>
      </c>
      <c r="G16" s="72">
        <f>'Annual Income (Combined)'!G16</f>
        <v>0</v>
      </c>
      <c r="H16" s="72">
        <f>'Annual Income (Combined)'!H16</f>
        <v>1200</v>
      </c>
      <c r="I16" s="72">
        <f>'Annual Income (Combined)'!I16</f>
        <v>1200</v>
      </c>
      <c r="J16" s="72">
        <f>'Annual Income (Combined)'!J16</f>
        <v>0</v>
      </c>
      <c r="K16" s="72">
        <f>'Annual Income (Combined)'!K16</f>
        <v>0</v>
      </c>
      <c r="L16" s="72">
        <f>'Annual Income (Combined)'!L16</f>
        <v>0</v>
      </c>
      <c r="M16" s="72">
        <f>'Annual Income (Combined)'!M16</f>
        <v>0</v>
      </c>
      <c r="N16" s="72">
        <f>'Annual Income (Combined)'!N16</f>
        <v>0</v>
      </c>
      <c r="O16" s="72">
        <f>'Annual Income (Combined)'!O16</f>
        <v>0</v>
      </c>
      <c r="P16" s="72">
        <f>'Annual Income (Combined)'!P16</f>
        <v>0</v>
      </c>
      <c r="Q16" s="72">
        <f>'Annual Income (Combined)'!Q16</f>
        <v>0</v>
      </c>
      <c r="R16" s="37">
        <f t="shared" si="0"/>
        <v>2400</v>
      </c>
    </row>
    <row r="17" spans="3:18" ht="18" x14ac:dyDescent="0.45">
      <c r="C17" s="79">
        <v>11</v>
      </c>
      <c r="D17" s="37" t="s">
        <v>48</v>
      </c>
      <c r="E17" s="41" t="s">
        <v>49</v>
      </c>
      <c r="F17" s="72">
        <f>'Annual Income (Combined)'!F17</f>
        <v>0</v>
      </c>
      <c r="G17" s="72">
        <f>'Annual Income (Combined)'!G17</f>
        <v>0</v>
      </c>
      <c r="H17" s="72">
        <f>'Annual Income (Combined)'!H17</f>
        <v>2400</v>
      </c>
      <c r="I17" s="72">
        <f>'Annual Income (Combined)'!I17</f>
        <v>0</v>
      </c>
      <c r="J17" s="72">
        <f>'Annual Income (Combined)'!J17</f>
        <v>0</v>
      </c>
      <c r="K17" s="72">
        <f>'Annual Income (Combined)'!K17</f>
        <v>1200</v>
      </c>
      <c r="L17" s="72">
        <f>'Annual Income (Combined)'!L17</f>
        <v>0</v>
      </c>
      <c r="M17" s="72">
        <f>'Annual Income (Combined)'!M17</f>
        <v>0</v>
      </c>
      <c r="N17" s="72">
        <f>'Annual Income (Combined)'!N17</f>
        <v>0</v>
      </c>
      <c r="O17" s="72">
        <f>'Annual Income (Combined)'!O17</f>
        <v>0</v>
      </c>
      <c r="P17" s="72">
        <f>'Annual Income (Combined)'!P17</f>
        <v>0</v>
      </c>
      <c r="Q17" s="72">
        <f>'Annual Income (Combined)'!Q17</f>
        <v>0</v>
      </c>
      <c r="R17" s="37">
        <f t="shared" si="0"/>
        <v>3600</v>
      </c>
    </row>
    <row r="18" spans="3:18" ht="18" x14ac:dyDescent="0.45">
      <c r="C18" s="79">
        <v>12</v>
      </c>
      <c r="D18" s="37" t="s">
        <v>50</v>
      </c>
      <c r="E18" s="41" t="s">
        <v>51</v>
      </c>
      <c r="F18" s="72">
        <f>'Annual Income (Combined)'!F18</f>
        <v>600</v>
      </c>
      <c r="G18" s="72">
        <f>'Annual Income (Combined)'!G18</f>
        <v>600</v>
      </c>
      <c r="H18" s="72">
        <f>'Annual Income (Combined)'!H18</f>
        <v>600</v>
      </c>
      <c r="I18" s="72">
        <f>'Annual Income (Combined)'!I18</f>
        <v>600</v>
      </c>
      <c r="J18" s="72">
        <f>'Annual Income (Combined)'!J18</f>
        <v>600</v>
      </c>
      <c r="K18" s="72">
        <f>'Annual Income (Combined)'!K18</f>
        <v>600</v>
      </c>
      <c r="L18" s="72">
        <f>'Annual Income (Combined)'!L18</f>
        <v>0</v>
      </c>
      <c r="M18" s="72">
        <f>'Annual Income (Combined)'!M18</f>
        <v>0</v>
      </c>
      <c r="N18" s="72">
        <f>'Annual Income (Combined)'!N18</f>
        <v>0</v>
      </c>
      <c r="O18" s="72">
        <f>'Annual Income (Combined)'!O18</f>
        <v>0</v>
      </c>
      <c r="P18" s="72">
        <f>'Annual Income (Combined)'!P18</f>
        <v>0</v>
      </c>
      <c r="Q18" s="72">
        <f>'Annual Income (Combined)'!Q18</f>
        <v>0</v>
      </c>
      <c r="R18" s="37">
        <f t="shared" si="0"/>
        <v>3600</v>
      </c>
    </row>
    <row r="19" spans="3:18" ht="18" x14ac:dyDescent="0.45">
      <c r="C19" s="79">
        <v>13</v>
      </c>
      <c r="D19" s="37" t="s">
        <v>52</v>
      </c>
      <c r="E19" s="41" t="s">
        <v>53</v>
      </c>
      <c r="F19" s="72">
        <f>'Annual Income (Combined)'!F19</f>
        <v>4000</v>
      </c>
      <c r="G19" s="72">
        <f>'Annual Income (Combined)'!G19</f>
        <v>0</v>
      </c>
      <c r="H19" s="72">
        <f>'Annual Income (Combined)'!H19</f>
        <v>0</v>
      </c>
      <c r="I19" s="72">
        <f>'Annual Income (Combined)'!I19</f>
        <v>0</v>
      </c>
      <c r="J19" s="72">
        <f>'Annual Income (Combined)'!J19</f>
        <v>0</v>
      </c>
      <c r="K19" s="72">
        <f>'Annual Income (Combined)'!K19</f>
        <v>0</v>
      </c>
      <c r="L19" s="72">
        <f>'Annual Income (Combined)'!L19</f>
        <v>0</v>
      </c>
      <c r="M19" s="72">
        <f>'Annual Income (Combined)'!M19</f>
        <v>0</v>
      </c>
      <c r="N19" s="72">
        <f>'Annual Income (Combined)'!N19</f>
        <v>0</v>
      </c>
      <c r="O19" s="72">
        <f>'Annual Income (Combined)'!O19</f>
        <v>0</v>
      </c>
      <c r="P19" s="72">
        <f>'Annual Income (Combined)'!P19</f>
        <v>0</v>
      </c>
      <c r="Q19" s="72">
        <f>'Annual Income (Combined)'!Q19</f>
        <v>0</v>
      </c>
      <c r="R19" s="37">
        <f t="shared" si="0"/>
        <v>4000</v>
      </c>
    </row>
    <row r="20" spans="3:18" ht="18" x14ac:dyDescent="0.45">
      <c r="C20" s="79">
        <v>14</v>
      </c>
      <c r="D20" s="37" t="s">
        <v>169</v>
      </c>
      <c r="E20" s="41" t="s">
        <v>55</v>
      </c>
      <c r="F20" s="72">
        <f>'Annual Income (Combined)'!F20</f>
        <v>400</v>
      </c>
      <c r="G20" s="72">
        <f>'Annual Income (Combined)'!G20</f>
        <v>0</v>
      </c>
      <c r="H20" s="72">
        <f>'Annual Income (Combined)'!H20</f>
        <v>1200</v>
      </c>
      <c r="I20" s="72">
        <f>'Annual Income (Combined)'!I20</f>
        <v>600</v>
      </c>
      <c r="J20" s="72">
        <f>'Annual Income (Combined)'!J20</f>
        <v>600</v>
      </c>
      <c r="K20" s="72">
        <f>'Annual Income (Combined)'!K20</f>
        <v>0</v>
      </c>
      <c r="L20" s="72">
        <f>'Annual Income (Combined)'!L20</f>
        <v>0</v>
      </c>
      <c r="M20" s="72">
        <f>'Annual Income (Combined)'!M20</f>
        <v>0</v>
      </c>
      <c r="N20" s="72">
        <f>'Annual Income (Combined)'!N20</f>
        <v>0</v>
      </c>
      <c r="O20" s="72">
        <f>'Annual Income (Combined)'!O20</f>
        <v>0</v>
      </c>
      <c r="P20" s="72">
        <f>'Annual Income (Combined)'!P20</f>
        <v>0</v>
      </c>
      <c r="Q20" s="72">
        <f>'Annual Income (Combined)'!Q20</f>
        <v>0</v>
      </c>
      <c r="R20" s="37">
        <f t="shared" si="0"/>
        <v>2800</v>
      </c>
    </row>
    <row r="21" spans="3:18" ht="18" x14ac:dyDescent="0.45">
      <c r="C21" s="79">
        <v>15</v>
      </c>
      <c r="D21" s="37" t="s">
        <v>56</v>
      </c>
      <c r="E21" s="41" t="s">
        <v>57</v>
      </c>
      <c r="F21" s="72">
        <f>'Annual Income (Combined)'!F21</f>
        <v>0</v>
      </c>
      <c r="G21" s="72">
        <f>'Annual Income (Combined)'!G21</f>
        <v>0</v>
      </c>
      <c r="H21" s="72">
        <f>'Annual Income (Combined)'!H21</f>
        <v>1500</v>
      </c>
      <c r="I21" s="72">
        <f>'Annual Income (Combined)'!I21</f>
        <v>600</v>
      </c>
      <c r="J21" s="72">
        <f>'Annual Income (Combined)'!J21</f>
        <v>600</v>
      </c>
      <c r="K21" s="72">
        <f>'Annual Income (Combined)'!K21</f>
        <v>0</v>
      </c>
      <c r="L21" s="72">
        <f>'Annual Income (Combined)'!L21</f>
        <v>0</v>
      </c>
      <c r="M21" s="72">
        <f>'Annual Income (Combined)'!M21</f>
        <v>0</v>
      </c>
      <c r="N21" s="72">
        <f>'Annual Income (Combined)'!N21</f>
        <v>0</v>
      </c>
      <c r="O21" s="72">
        <f>'Annual Income (Combined)'!O21</f>
        <v>0</v>
      </c>
      <c r="P21" s="72">
        <f>'Annual Income (Combined)'!P21</f>
        <v>0</v>
      </c>
      <c r="Q21" s="72">
        <f>'Annual Income (Combined)'!Q21</f>
        <v>0</v>
      </c>
      <c r="R21" s="37">
        <f t="shared" si="0"/>
        <v>2700</v>
      </c>
    </row>
    <row r="22" spans="3:18" ht="18" x14ac:dyDescent="0.45">
      <c r="C22" s="79">
        <v>16</v>
      </c>
      <c r="D22" s="37" t="s">
        <v>58</v>
      </c>
      <c r="E22" s="41" t="s">
        <v>59</v>
      </c>
      <c r="F22" s="72">
        <f>'Annual Income (Combined)'!F22</f>
        <v>0</v>
      </c>
      <c r="G22" s="72">
        <f>'Annual Income (Combined)'!G22</f>
        <v>0</v>
      </c>
      <c r="H22" s="72">
        <f>'Annual Income (Combined)'!H22</f>
        <v>0</v>
      </c>
      <c r="I22" s="72">
        <f>'Annual Income (Combined)'!I22</f>
        <v>0</v>
      </c>
      <c r="J22" s="72">
        <f>'Annual Income (Combined)'!J22</f>
        <v>0</v>
      </c>
      <c r="K22" s="72">
        <f>'Annual Income (Combined)'!K22</f>
        <v>0</v>
      </c>
      <c r="L22" s="72">
        <f>'Annual Income (Combined)'!L22</f>
        <v>0</v>
      </c>
      <c r="M22" s="72">
        <f>'Annual Income (Combined)'!M22</f>
        <v>0</v>
      </c>
      <c r="N22" s="72">
        <f>'Annual Income (Combined)'!N22</f>
        <v>0</v>
      </c>
      <c r="O22" s="72">
        <f>'Annual Income (Combined)'!O22</f>
        <v>0</v>
      </c>
      <c r="P22" s="72">
        <f>'Annual Income (Combined)'!P22</f>
        <v>0</v>
      </c>
      <c r="Q22" s="72">
        <f>'Annual Income (Combined)'!Q22</f>
        <v>0</v>
      </c>
      <c r="R22" s="37">
        <f t="shared" si="0"/>
        <v>0</v>
      </c>
    </row>
    <row r="23" spans="3:18" ht="18" x14ac:dyDescent="0.45">
      <c r="C23" s="79">
        <v>17</v>
      </c>
      <c r="D23" s="37" t="s">
        <v>60</v>
      </c>
      <c r="E23" s="41" t="s">
        <v>61</v>
      </c>
      <c r="F23" s="72">
        <f>'Annual Income (Combined)'!F23</f>
        <v>600</v>
      </c>
      <c r="G23" s="72">
        <f>'Annual Income (Combined)'!G23</f>
        <v>0</v>
      </c>
      <c r="H23" s="72">
        <f>'Annual Income (Combined)'!H23</f>
        <v>0</v>
      </c>
      <c r="I23" s="72">
        <f>'Annual Income (Combined)'!I23</f>
        <v>0</v>
      </c>
      <c r="J23" s="72">
        <f>'Annual Income (Combined)'!J23</f>
        <v>0</v>
      </c>
      <c r="K23" s="72">
        <f>'Annual Income (Combined)'!K23</f>
        <v>0</v>
      </c>
      <c r="L23" s="72">
        <f>'Annual Income (Combined)'!L23</f>
        <v>0</v>
      </c>
      <c r="M23" s="72">
        <f>'Annual Income (Combined)'!M23</f>
        <v>0</v>
      </c>
      <c r="N23" s="72">
        <f>'Annual Income (Combined)'!N23</f>
        <v>0</v>
      </c>
      <c r="O23" s="72">
        <f>'Annual Income (Combined)'!O23</f>
        <v>0</v>
      </c>
      <c r="P23" s="72">
        <f>'Annual Income (Combined)'!P23</f>
        <v>0</v>
      </c>
      <c r="Q23" s="72">
        <f>'Annual Income (Combined)'!Q23</f>
        <v>0</v>
      </c>
      <c r="R23" s="37">
        <f t="shared" si="0"/>
        <v>600</v>
      </c>
    </row>
    <row r="24" spans="3:18" ht="18" x14ac:dyDescent="0.45">
      <c r="C24" s="79">
        <v>18</v>
      </c>
      <c r="D24" s="37" t="s">
        <v>181</v>
      </c>
      <c r="E24" s="41" t="s">
        <v>63</v>
      </c>
      <c r="F24" s="72">
        <f>'Annual Income (Combined)'!F24</f>
        <v>0</v>
      </c>
      <c r="G24" s="72">
        <f>'Annual Income (Combined)'!G24</f>
        <v>0</v>
      </c>
      <c r="H24" s="72">
        <f>'Annual Income (Combined)'!H24</f>
        <v>0</v>
      </c>
      <c r="I24" s="72">
        <f>'Annual Income (Combined)'!I24</f>
        <v>0</v>
      </c>
      <c r="J24" s="72">
        <f>'Annual Income (Combined)'!J24</f>
        <v>0</v>
      </c>
      <c r="K24" s="72">
        <f>'Annual Income (Combined)'!K24</f>
        <v>0</v>
      </c>
      <c r="L24" s="72">
        <f>'Annual Income (Combined)'!L24</f>
        <v>0</v>
      </c>
      <c r="M24" s="72">
        <f>'Annual Income (Combined)'!M24</f>
        <v>0</v>
      </c>
      <c r="N24" s="72">
        <f>'Annual Income (Combined)'!N24</f>
        <v>0</v>
      </c>
      <c r="O24" s="72">
        <f>'Annual Income (Combined)'!O24</f>
        <v>0</v>
      </c>
      <c r="P24" s="72">
        <f>'Annual Income (Combined)'!P24</f>
        <v>0</v>
      </c>
      <c r="Q24" s="72">
        <f>'Annual Income (Combined)'!Q24</f>
        <v>0</v>
      </c>
      <c r="R24" s="37">
        <f t="shared" si="0"/>
        <v>0</v>
      </c>
    </row>
    <row r="25" spans="3:18" ht="18" x14ac:dyDescent="0.45">
      <c r="C25" s="79">
        <v>19</v>
      </c>
      <c r="D25" s="37" t="s">
        <v>64</v>
      </c>
      <c r="E25" s="41" t="s">
        <v>65</v>
      </c>
      <c r="F25" s="72">
        <f>'Annual Income (Combined)'!F25</f>
        <v>600</v>
      </c>
      <c r="G25" s="72">
        <f>'Annual Income (Combined)'!G25</f>
        <v>600</v>
      </c>
      <c r="H25" s="72">
        <f>'Annual Income (Combined)'!H25</f>
        <v>600</v>
      </c>
      <c r="I25" s="72">
        <f>'Annual Income (Combined)'!I25</f>
        <v>600</v>
      </c>
      <c r="J25" s="72">
        <f>'Annual Income (Combined)'!J25</f>
        <v>600</v>
      </c>
      <c r="K25" s="72">
        <f>'Annual Income (Combined)'!K25</f>
        <v>600</v>
      </c>
      <c r="L25" s="72">
        <f>'Annual Income (Combined)'!L25</f>
        <v>0</v>
      </c>
      <c r="M25" s="72">
        <f>'Annual Income (Combined)'!M25</f>
        <v>0</v>
      </c>
      <c r="N25" s="72">
        <f>'Annual Income (Combined)'!N25</f>
        <v>0</v>
      </c>
      <c r="O25" s="72">
        <f>'Annual Income (Combined)'!O25</f>
        <v>0</v>
      </c>
      <c r="P25" s="72">
        <f>'Annual Income (Combined)'!P25</f>
        <v>0</v>
      </c>
      <c r="Q25" s="72">
        <f>'Annual Income (Combined)'!Q25</f>
        <v>0</v>
      </c>
      <c r="R25" s="37">
        <f t="shared" si="0"/>
        <v>3600</v>
      </c>
    </row>
    <row r="26" spans="3:18" ht="18" x14ac:dyDescent="0.45">
      <c r="C26" s="79">
        <v>20</v>
      </c>
      <c r="D26" s="37" t="s">
        <v>130</v>
      </c>
      <c r="E26" s="41" t="s">
        <v>67</v>
      </c>
      <c r="F26" s="72">
        <f>'Annual Income (Combined)'!F26</f>
        <v>600</v>
      </c>
      <c r="G26" s="72">
        <f>'Annual Income (Combined)'!G26</f>
        <v>600</v>
      </c>
      <c r="H26" s="72">
        <f>'Annual Income (Combined)'!H26</f>
        <v>1200</v>
      </c>
      <c r="I26" s="72">
        <f>'Annual Income (Combined)'!I26</f>
        <v>0</v>
      </c>
      <c r="J26" s="72">
        <f>'Annual Income (Combined)'!J26</f>
        <v>600</v>
      </c>
      <c r="K26" s="72">
        <f>'Annual Income (Combined)'!K26</f>
        <v>0</v>
      </c>
      <c r="L26" s="72">
        <f>'Annual Income (Combined)'!L26</f>
        <v>0</v>
      </c>
      <c r="M26" s="72">
        <f>'Annual Income (Combined)'!M26</f>
        <v>0</v>
      </c>
      <c r="N26" s="72">
        <f>'Annual Income (Combined)'!N26</f>
        <v>0</v>
      </c>
      <c r="O26" s="72">
        <f>'Annual Income (Combined)'!O26</f>
        <v>0</v>
      </c>
      <c r="P26" s="72">
        <f>'Annual Income (Combined)'!P26</f>
        <v>0</v>
      </c>
      <c r="Q26" s="72">
        <f>'Annual Income (Combined)'!Q26</f>
        <v>0</v>
      </c>
      <c r="R26" s="37">
        <f t="shared" si="0"/>
        <v>3000</v>
      </c>
    </row>
    <row r="27" spans="3:18" ht="18" x14ac:dyDescent="0.45">
      <c r="C27" s="79">
        <v>21</v>
      </c>
      <c r="D27" s="37" t="s">
        <v>68</v>
      </c>
      <c r="E27" s="41" t="s">
        <v>69</v>
      </c>
      <c r="F27" s="72">
        <f>'Annual Income (Combined)'!F27</f>
        <v>600</v>
      </c>
      <c r="G27" s="72">
        <f>'Annual Income (Combined)'!G27</f>
        <v>1200</v>
      </c>
      <c r="H27" s="72">
        <f>'Annual Income (Combined)'!H27</f>
        <v>0</v>
      </c>
      <c r="I27" s="72">
        <f>'Annual Income (Combined)'!I27</f>
        <v>0</v>
      </c>
      <c r="J27" s="72">
        <f>'Annual Income (Combined)'!J27</f>
        <v>1200</v>
      </c>
      <c r="K27" s="72">
        <f>'Annual Income (Combined)'!K27</f>
        <v>0</v>
      </c>
      <c r="L27" s="72">
        <f>'Annual Income (Combined)'!L27</f>
        <v>0</v>
      </c>
      <c r="M27" s="72">
        <f>'Annual Income (Combined)'!M27</f>
        <v>0</v>
      </c>
      <c r="N27" s="72">
        <f>'Annual Income (Combined)'!N27</f>
        <v>0</v>
      </c>
      <c r="O27" s="72">
        <f>'Annual Income (Combined)'!O27</f>
        <v>0</v>
      </c>
      <c r="P27" s="72">
        <f>'Annual Income (Combined)'!P27</f>
        <v>0</v>
      </c>
      <c r="Q27" s="72">
        <f>'Annual Income (Combined)'!Q27</f>
        <v>0</v>
      </c>
      <c r="R27" s="37">
        <f t="shared" si="0"/>
        <v>3000</v>
      </c>
    </row>
    <row r="28" spans="3:18" ht="18" x14ac:dyDescent="0.45">
      <c r="C28" s="79">
        <v>22</v>
      </c>
      <c r="D28" s="37" t="s">
        <v>70</v>
      </c>
      <c r="E28" s="41" t="s">
        <v>71</v>
      </c>
      <c r="F28" s="72">
        <f>'Annual Income (Combined)'!F28</f>
        <v>600</v>
      </c>
      <c r="G28" s="72">
        <f>'Annual Income (Combined)'!G28</f>
        <v>600</v>
      </c>
      <c r="H28" s="72">
        <f>'Annual Income (Combined)'!H28</f>
        <v>600</v>
      </c>
      <c r="I28" s="72">
        <f>'Annual Income (Combined)'!I28</f>
        <v>600</v>
      </c>
      <c r="J28" s="72">
        <f>'Annual Income (Combined)'!J28</f>
        <v>600</v>
      </c>
      <c r="K28" s="72">
        <f>'Annual Income (Combined)'!K28</f>
        <v>600</v>
      </c>
      <c r="L28" s="72">
        <f>'Annual Income (Combined)'!L28</f>
        <v>0</v>
      </c>
      <c r="M28" s="72">
        <f>'Annual Income (Combined)'!M28</f>
        <v>0</v>
      </c>
      <c r="N28" s="72">
        <f>'Annual Income (Combined)'!N28</f>
        <v>0</v>
      </c>
      <c r="O28" s="72">
        <f>'Annual Income (Combined)'!O28</f>
        <v>0</v>
      </c>
      <c r="P28" s="72">
        <f>'Annual Income (Combined)'!P28</f>
        <v>0</v>
      </c>
      <c r="Q28" s="72">
        <f>'Annual Income (Combined)'!Q28</f>
        <v>0</v>
      </c>
      <c r="R28" s="37">
        <f t="shared" si="0"/>
        <v>3600</v>
      </c>
    </row>
    <row r="29" spans="3:18" ht="18" x14ac:dyDescent="0.45">
      <c r="C29" s="79">
        <v>23</v>
      </c>
      <c r="D29" s="37" t="s">
        <v>72</v>
      </c>
      <c r="E29" s="41" t="s">
        <v>73</v>
      </c>
      <c r="F29" s="72">
        <f>'Annual Income (Combined)'!F29</f>
        <v>5600</v>
      </c>
      <c r="G29" s="72">
        <f>'Annual Income (Combined)'!G29</f>
        <v>600</v>
      </c>
      <c r="H29" s="72">
        <f>'Annual Income (Combined)'!H29</f>
        <v>600</v>
      </c>
      <c r="I29" s="72">
        <f>'Annual Income (Combined)'!I29</f>
        <v>600</v>
      </c>
      <c r="J29" s="72">
        <f>'Annual Income (Combined)'!J29</f>
        <v>600</v>
      </c>
      <c r="K29" s="72">
        <f>'Annual Income (Combined)'!K29</f>
        <v>600</v>
      </c>
      <c r="L29" s="72">
        <f>'Annual Income (Combined)'!L29</f>
        <v>0</v>
      </c>
      <c r="M29" s="72">
        <f>'Annual Income (Combined)'!M29</f>
        <v>0</v>
      </c>
      <c r="N29" s="72">
        <f>'Annual Income (Combined)'!N29</f>
        <v>0</v>
      </c>
      <c r="O29" s="72">
        <f>'Annual Income (Combined)'!O29</f>
        <v>0</v>
      </c>
      <c r="P29" s="72">
        <f>'Annual Income (Combined)'!P29</f>
        <v>0</v>
      </c>
      <c r="Q29" s="72">
        <f>'Annual Income (Combined)'!Q29</f>
        <v>0</v>
      </c>
      <c r="R29" s="37">
        <f t="shared" si="0"/>
        <v>8600</v>
      </c>
    </row>
    <row r="30" spans="3:18" ht="18" x14ac:dyDescent="0.45">
      <c r="C30" s="79">
        <v>24</v>
      </c>
      <c r="D30" s="37" t="s">
        <v>74</v>
      </c>
      <c r="E30" s="41" t="s">
        <v>75</v>
      </c>
      <c r="F30" s="72">
        <f>'Annual Income (Combined)'!F30</f>
        <v>600</v>
      </c>
      <c r="G30" s="72">
        <f>'Annual Income (Combined)'!G30</f>
        <v>0</v>
      </c>
      <c r="H30" s="72">
        <f>'Annual Income (Combined)'!H30</f>
        <v>600</v>
      </c>
      <c r="I30" s="72">
        <f>'Annual Income (Combined)'!I30</f>
        <v>600</v>
      </c>
      <c r="J30" s="72">
        <f>'Annual Income (Combined)'!J30</f>
        <v>1200</v>
      </c>
      <c r="K30" s="72">
        <f>'Annual Income (Combined)'!K30</f>
        <v>0</v>
      </c>
      <c r="L30" s="72">
        <f>'Annual Income (Combined)'!L30</f>
        <v>0</v>
      </c>
      <c r="M30" s="72">
        <f>'Annual Income (Combined)'!M30</f>
        <v>0</v>
      </c>
      <c r="N30" s="72">
        <f>'Annual Income (Combined)'!N30</f>
        <v>0</v>
      </c>
      <c r="O30" s="72">
        <f>'Annual Income (Combined)'!O30</f>
        <v>0</v>
      </c>
      <c r="P30" s="72">
        <f>'Annual Income (Combined)'!P30</f>
        <v>0</v>
      </c>
      <c r="Q30" s="72">
        <f>'Annual Income (Combined)'!Q30</f>
        <v>0</v>
      </c>
      <c r="R30" s="37">
        <f t="shared" si="0"/>
        <v>3000</v>
      </c>
    </row>
    <row r="31" spans="3:18" ht="18" x14ac:dyDescent="0.45">
      <c r="C31" s="79">
        <v>25</v>
      </c>
      <c r="D31" s="37" t="s">
        <v>76</v>
      </c>
      <c r="E31" s="41" t="s">
        <v>77</v>
      </c>
      <c r="F31" s="72">
        <f>'Annual Income (Combined)'!F31</f>
        <v>600</v>
      </c>
      <c r="G31" s="72">
        <f>'Annual Income (Combined)'!G31</f>
        <v>600</v>
      </c>
      <c r="H31" s="72">
        <f>'Annual Income (Combined)'!H31</f>
        <v>600</v>
      </c>
      <c r="I31" s="72">
        <f>'Annual Income (Combined)'!I31</f>
        <v>600</v>
      </c>
      <c r="J31" s="72">
        <f>'Annual Income (Combined)'!J31</f>
        <v>600</v>
      </c>
      <c r="K31" s="72">
        <f>'Annual Income (Combined)'!K31</f>
        <v>600</v>
      </c>
      <c r="L31" s="72">
        <f>'Annual Income (Combined)'!L31</f>
        <v>0</v>
      </c>
      <c r="M31" s="72">
        <f>'Annual Income (Combined)'!M31</f>
        <v>0</v>
      </c>
      <c r="N31" s="72">
        <f>'Annual Income (Combined)'!N31</f>
        <v>0</v>
      </c>
      <c r="O31" s="72">
        <f>'Annual Income (Combined)'!O31</f>
        <v>0</v>
      </c>
      <c r="P31" s="72">
        <f>'Annual Income (Combined)'!P31</f>
        <v>0</v>
      </c>
      <c r="Q31" s="72">
        <f>'Annual Income (Combined)'!Q31</f>
        <v>0</v>
      </c>
      <c r="R31" s="37">
        <f t="shared" si="0"/>
        <v>3600</v>
      </c>
    </row>
    <row r="32" spans="3:18" ht="18" x14ac:dyDescent="0.45">
      <c r="C32" s="79">
        <v>26</v>
      </c>
      <c r="D32" s="37" t="s">
        <v>78</v>
      </c>
      <c r="E32" s="41" t="s">
        <v>79</v>
      </c>
      <c r="F32" s="72">
        <f>'Annual Income (Combined)'!F32</f>
        <v>0</v>
      </c>
      <c r="G32" s="72">
        <f>'Annual Income (Combined)'!G32</f>
        <v>0</v>
      </c>
      <c r="H32" s="72">
        <f>'Annual Income (Combined)'!H32</f>
        <v>0</v>
      </c>
      <c r="I32" s="72">
        <f>'Annual Income (Combined)'!I32</f>
        <v>1600</v>
      </c>
      <c r="J32" s="72">
        <f>'Annual Income (Combined)'!J32</f>
        <v>400</v>
      </c>
      <c r="K32" s="72">
        <f>'Annual Income (Combined)'!K32</f>
        <v>0</v>
      </c>
      <c r="L32" s="72">
        <f>'Annual Income (Combined)'!L32</f>
        <v>0</v>
      </c>
      <c r="M32" s="72">
        <f>'Annual Income (Combined)'!M32</f>
        <v>0</v>
      </c>
      <c r="N32" s="72">
        <f>'Annual Income (Combined)'!N32</f>
        <v>0</v>
      </c>
      <c r="O32" s="72">
        <f>'Annual Income (Combined)'!O32</f>
        <v>0</v>
      </c>
      <c r="P32" s="72">
        <f>'Annual Income (Combined)'!P32</f>
        <v>0</v>
      </c>
      <c r="Q32" s="72">
        <f>'Annual Income (Combined)'!Q32</f>
        <v>0</v>
      </c>
      <c r="R32" s="37">
        <f t="shared" si="0"/>
        <v>2000</v>
      </c>
    </row>
    <row r="33" spans="3:19" ht="23.65" thickBot="1" x14ac:dyDescent="0.5">
      <c r="C33" s="157" t="s">
        <v>80</v>
      </c>
      <c r="D33" s="158"/>
      <c r="E33" s="159"/>
      <c r="F33" s="30">
        <f>SUM(F7:F32)</f>
        <v>18300</v>
      </c>
      <c r="G33" s="30">
        <f t="shared" ref="G33:Q33" si="1">SUM(G7:G32)</f>
        <v>7500</v>
      </c>
      <c r="H33" s="30">
        <f t="shared" si="1"/>
        <v>15500</v>
      </c>
      <c r="I33" s="30">
        <f t="shared" si="1"/>
        <v>11100</v>
      </c>
      <c r="J33" s="30">
        <f t="shared" si="1"/>
        <v>15300</v>
      </c>
      <c r="K33" s="30">
        <f t="shared" si="1"/>
        <v>6900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>SUM(P7:P32)</f>
        <v>0</v>
      </c>
      <c r="Q33" s="30">
        <f t="shared" si="1"/>
        <v>0</v>
      </c>
      <c r="R33" s="30">
        <f>SUM(R7:R32)</f>
        <v>74600</v>
      </c>
    </row>
    <row r="34" spans="3:19" ht="14.25" x14ac:dyDescent="0.45"/>
    <row r="35" spans="3:19" ht="21" x14ac:dyDescent="0.65">
      <c r="F35" s="120" t="b">
        <f>F33=January!H33+January!I33</f>
        <v>1</v>
      </c>
      <c r="G35" s="120" t="b">
        <f>G33=Feb.!H33+Feb.!I33</f>
        <v>1</v>
      </c>
      <c r="H35" s="120" t="b">
        <f>H33=Mar.!H33+Mar.!I33</f>
        <v>1</v>
      </c>
      <c r="I35" s="120" t="b">
        <f>I33=Apr.!H35+Apr.!I35</f>
        <v>1</v>
      </c>
      <c r="J35" s="120" t="b">
        <f>May!H35+May!I35=J33</f>
        <v>1</v>
      </c>
      <c r="K35" s="120" t="b">
        <f>+Jun!H35+Jun!I35=K33</f>
        <v>1</v>
      </c>
      <c r="L35" s="120" t="b">
        <f>Jul!H35+Jul!I35='YTD Income (Combined)'!L33</f>
        <v>1</v>
      </c>
      <c r="M35" s="120" t="b">
        <f>Aug!H35+Aug!I35='YTD Income (Combined)'!M33</f>
        <v>1</v>
      </c>
      <c r="N35" s="120" t="b">
        <f>Sep!I35+Sep!H35='YTD Income (Combined)'!N33</f>
        <v>1</v>
      </c>
      <c r="O35" s="120" t="b">
        <f>Oct!H35+Oct!I35='YTD Income (Combined)'!O33</f>
        <v>1</v>
      </c>
      <c r="P35" s="120" t="b">
        <f>Nov!I35+Nov!H35='YTD Income (Combined)'!P33</f>
        <v>1</v>
      </c>
      <c r="Q35" s="120" t="b">
        <f>Dec!H35+Dec!I35='YTD Income (Combined)'!Q33</f>
        <v>1</v>
      </c>
      <c r="R35" s="120" t="b">
        <f>R33=January!H33+January!I33+Feb.!H33+Feb.!I33+Mar.!H33+Mar.!I33+Apr.!H35+Apr.!I35+May!H35+May!I35+Jun!H35+Jun!I35+Jul!H35+Jul!I35+Aug!H35+Aug!I35+Sep!H35+Sep!I35+Oct!H35+Oct!I35+Nov!H35+Nov!I35+Dec!H35+Dec!I35</f>
        <v>1</v>
      </c>
      <c r="S35" s="120" t="b">
        <f>R33='Annual income ( Elevator)'!R33+'Annual income (maintenenace)'!R33</f>
        <v>1</v>
      </c>
    </row>
    <row r="36" spans="3:19" ht="14.25" x14ac:dyDescent="0.45"/>
    <row r="37" spans="3:19" ht="14.25" x14ac:dyDescent="0.45">
      <c r="J37" s="36">
        <f>SUM(J35:J36)</f>
        <v>0</v>
      </c>
    </row>
    <row r="38" spans="3:19" ht="27.75" customHeight="1" x14ac:dyDescent="0.45">
      <c r="I38" s="36">
        <f>January!H33+January!I33+Feb.!H33+Feb.!I33+Mar.!H33+Mar.!I33+Apr.!H35+Apr.!I35+May!H35+May!I35+Jun!H35+Jun!I35+Jul!H35+Jul!I35+Aug!H35+Aug!I35+Sep!H35+Sep!I35</f>
        <v>74600</v>
      </c>
    </row>
    <row r="39" spans="3:19" ht="21.75" customHeight="1" x14ac:dyDescent="0.45">
      <c r="I39" s="36">
        <f>I38-R33</f>
        <v>0</v>
      </c>
    </row>
    <row r="40" spans="3:19" ht="14.25" x14ac:dyDescent="0.45"/>
  </sheetData>
  <autoFilter ref="C6:R6" xr:uid="{6E02C345-80AD-49AC-8355-6063465308D9}"/>
  <mergeCells count="3">
    <mergeCell ref="C3:R3"/>
    <mergeCell ref="C4:R4"/>
    <mergeCell ref="C33:E33"/>
  </mergeCells>
  <pageMargins left="0.7" right="0.7" top="0.75" bottom="0.75" header="0.3" footer="0.3"/>
  <pageSetup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6E2F-E103-4D97-8FF5-6186E0297C77}">
  <sheetPr>
    <pageSetUpPr fitToPage="1"/>
  </sheetPr>
  <dimension ref="A1:T42"/>
  <sheetViews>
    <sheetView showGridLines="0" topLeftCell="A15" zoomScale="74" zoomScaleNormal="60" workbookViewId="0">
      <selection activeCell="E43" sqref="E43"/>
    </sheetView>
  </sheetViews>
  <sheetFormatPr defaultColWidth="0" defaultRowHeight="14.25" x14ac:dyDescent="0.45"/>
  <cols>
    <col min="1" max="1" width="9.1328125" customWidth="1"/>
    <col min="2" max="2" width="14.86328125" customWidth="1"/>
    <col min="3" max="3" width="42.73046875" bestFit="1" customWidth="1"/>
    <col min="4" max="4" width="21.86328125" customWidth="1"/>
    <col min="5" max="13" width="15.59765625" style="48" customWidth="1"/>
    <col min="14" max="14" width="21.265625" style="48" customWidth="1"/>
    <col min="15" max="15" width="15.59765625" style="48" customWidth="1"/>
    <col min="16" max="16" width="1.73046875" style="48" customWidth="1"/>
    <col min="17" max="17" width="18.1328125" style="48" customWidth="1"/>
    <col min="18" max="18" width="23.265625" style="48" customWidth="1"/>
    <col min="19" max="20" width="9.1328125" customWidth="1"/>
    <col min="21" max="16384" width="9.1328125" hidden="1"/>
  </cols>
  <sheetData>
    <row r="1" spans="2:18" ht="36" customHeight="1" x14ac:dyDescent="0.45"/>
    <row r="3" spans="2:18" ht="25.5" x14ac:dyDescent="0.75">
      <c r="B3" s="168" t="s">
        <v>25</v>
      </c>
      <c r="C3" s="169"/>
      <c r="D3" s="169"/>
      <c r="E3" s="169"/>
      <c r="F3" s="169"/>
      <c r="G3" s="169"/>
      <c r="H3" s="169"/>
      <c r="I3" s="169"/>
      <c r="J3" s="169"/>
      <c r="K3" s="169"/>
      <c r="L3" s="163"/>
      <c r="M3" s="163"/>
      <c r="N3" s="163"/>
      <c r="O3" s="163"/>
      <c r="Q3" s="170" t="s">
        <v>28</v>
      </c>
    </row>
    <row r="4" spans="2:18" ht="23.65" thickBot="1" x14ac:dyDescent="0.75">
      <c r="B4" s="162" t="s">
        <v>201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Q4" s="170"/>
    </row>
    <row r="5" spans="2:18" ht="25.5" thickBot="1" x14ac:dyDescent="0.5">
      <c r="B5" s="27" t="s">
        <v>16</v>
      </c>
      <c r="C5" s="28" t="s">
        <v>81</v>
      </c>
      <c r="D5" s="28" t="s">
        <v>0</v>
      </c>
      <c r="E5" s="28" t="s">
        <v>1</v>
      </c>
      <c r="F5" s="28" t="s">
        <v>2</v>
      </c>
      <c r="G5" s="28" t="s">
        <v>3</v>
      </c>
      <c r="H5" s="28" t="s">
        <v>166</v>
      </c>
      <c r="I5" s="28" t="s">
        <v>167</v>
      </c>
      <c r="J5" s="28" t="s">
        <v>175</v>
      </c>
      <c r="K5" s="28" t="s">
        <v>176</v>
      </c>
      <c r="L5" s="113" t="s">
        <v>177</v>
      </c>
      <c r="M5" s="113" t="s">
        <v>178</v>
      </c>
      <c r="N5" s="113" t="s">
        <v>179</v>
      </c>
      <c r="O5" s="113" t="s">
        <v>180</v>
      </c>
      <c r="Q5" s="171"/>
      <c r="R5"/>
    </row>
    <row r="6" spans="2:18" ht="18" x14ac:dyDescent="0.45">
      <c r="B6" s="25">
        <v>1</v>
      </c>
      <c r="C6" s="25" t="s">
        <v>82</v>
      </c>
      <c r="D6" s="45">
        <f>January!T7</f>
        <v>-3000</v>
      </c>
      <c r="E6" s="45">
        <f>Feb.!T7</f>
        <v>-3000</v>
      </c>
      <c r="F6" s="45"/>
      <c r="G6" s="45"/>
      <c r="H6" s="33"/>
      <c r="I6" s="33"/>
      <c r="J6" s="33"/>
      <c r="K6" s="33"/>
      <c r="L6" s="33"/>
      <c r="M6" s="33"/>
      <c r="N6" s="33"/>
      <c r="O6" s="33"/>
      <c r="Q6" s="33">
        <f>SUM(D6:P6)</f>
        <v>-6000</v>
      </c>
      <c r="R6"/>
    </row>
    <row r="7" spans="2:18" ht="18" x14ac:dyDescent="0.45">
      <c r="B7" s="25">
        <v>2</v>
      </c>
      <c r="C7" s="25" t="s">
        <v>83</v>
      </c>
      <c r="D7" s="45">
        <f>January!T8</f>
        <v>-2900</v>
      </c>
      <c r="E7" s="45">
        <f>Feb.!T8</f>
        <v>-3255</v>
      </c>
      <c r="F7" s="45"/>
      <c r="G7" s="45"/>
      <c r="H7" s="33"/>
      <c r="I7" s="33"/>
      <c r="J7" s="33"/>
      <c r="K7" s="33"/>
      <c r="L7" s="33"/>
      <c r="M7" s="33"/>
      <c r="N7" s="33"/>
      <c r="O7" s="33"/>
      <c r="Q7" s="33">
        <f t="shared" ref="Q7:Q10" si="0">SUM(D7:P7)</f>
        <v>-6155</v>
      </c>
      <c r="R7"/>
    </row>
    <row r="8" spans="2:18" ht="18" x14ac:dyDescent="0.45">
      <c r="B8" s="25">
        <v>3</v>
      </c>
      <c r="C8" s="25" t="s">
        <v>84</v>
      </c>
      <c r="D8" s="45">
        <f>January!T9</f>
        <v>-2400</v>
      </c>
      <c r="E8" s="45">
        <f>Feb.!T9</f>
        <v>-3000</v>
      </c>
      <c r="F8" s="45"/>
      <c r="G8" s="45"/>
      <c r="H8" s="33"/>
      <c r="I8" s="33"/>
      <c r="J8" s="33"/>
      <c r="K8" s="33"/>
      <c r="L8" s="33"/>
      <c r="M8" s="33"/>
      <c r="N8" s="33"/>
      <c r="O8" s="33"/>
      <c r="Q8" s="33">
        <f t="shared" si="0"/>
        <v>-5400</v>
      </c>
      <c r="R8"/>
    </row>
    <row r="9" spans="2:18" ht="18" x14ac:dyDescent="0.45">
      <c r="B9" s="25">
        <v>4</v>
      </c>
      <c r="C9" s="25" t="s">
        <v>85</v>
      </c>
      <c r="D9" s="45">
        <f>January!T10</f>
        <v>-125</v>
      </c>
      <c r="E9" s="45">
        <f>Feb.!T10</f>
        <v>-250</v>
      </c>
      <c r="F9" s="45"/>
      <c r="G9" s="45"/>
      <c r="H9" s="33"/>
      <c r="I9" s="33"/>
      <c r="J9" s="33"/>
      <c r="K9" s="33"/>
      <c r="L9" s="33"/>
      <c r="M9" s="33"/>
      <c r="N9" s="33"/>
      <c r="O9" s="33"/>
      <c r="Q9" s="33">
        <f t="shared" si="0"/>
        <v>-375</v>
      </c>
      <c r="R9"/>
    </row>
    <row r="10" spans="2:18" ht="18" x14ac:dyDescent="0.45">
      <c r="B10" s="25">
        <v>5</v>
      </c>
      <c r="C10" s="25" t="s">
        <v>86</v>
      </c>
      <c r="D10" s="45">
        <f>January!T11</f>
        <v>-400</v>
      </c>
      <c r="E10" s="45">
        <f>Feb.!T11</f>
        <v>-400</v>
      </c>
      <c r="F10" s="45"/>
      <c r="G10" s="45"/>
      <c r="H10" s="33"/>
      <c r="I10" s="33"/>
      <c r="J10" s="33"/>
      <c r="K10" s="33"/>
      <c r="L10" s="33"/>
      <c r="M10" s="33"/>
      <c r="N10" s="33"/>
      <c r="O10" s="33"/>
      <c r="Q10" s="33">
        <f t="shared" si="0"/>
        <v>-800</v>
      </c>
      <c r="R10"/>
    </row>
    <row r="11" spans="2:18" ht="18" x14ac:dyDescent="0.45">
      <c r="B11" s="25">
        <v>6</v>
      </c>
      <c r="C11" s="25" t="s">
        <v>88</v>
      </c>
      <c r="D11" s="45">
        <f>January!T12</f>
        <v>-500</v>
      </c>
      <c r="E11" s="45">
        <f>Feb.!T15</f>
        <v>-500</v>
      </c>
      <c r="F11" s="46"/>
      <c r="G11" s="45"/>
      <c r="H11" s="46"/>
      <c r="I11" s="33"/>
      <c r="J11" s="33"/>
      <c r="K11" s="34"/>
      <c r="L11" s="34"/>
      <c r="M11" s="33"/>
      <c r="N11" s="33"/>
      <c r="O11" s="33"/>
      <c r="Q11" s="33">
        <f t="shared" ref="Q11:Q33" si="1">SUM(D11:P11)</f>
        <v>-1000</v>
      </c>
      <c r="R11"/>
    </row>
    <row r="12" spans="2:18" ht="18" x14ac:dyDescent="0.45">
      <c r="B12" s="25">
        <v>7</v>
      </c>
      <c r="C12" s="25" t="s">
        <v>232</v>
      </c>
      <c r="D12" s="45">
        <f>January!T13</f>
        <v>-600</v>
      </c>
      <c r="E12" s="45"/>
      <c r="F12" s="45"/>
      <c r="G12" s="45"/>
      <c r="H12" s="33"/>
      <c r="I12" s="33"/>
      <c r="J12" s="33"/>
      <c r="K12" s="33"/>
      <c r="L12" s="33"/>
      <c r="M12" s="33"/>
      <c r="N12" s="33"/>
      <c r="O12" s="33"/>
      <c r="Q12" s="33">
        <f t="shared" si="1"/>
        <v>-600</v>
      </c>
      <c r="R12"/>
    </row>
    <row r="13" spans="2:18" ht="18" x14ac:dyDescent="0.45">
      <c r="B13" s="25">
        <v>8</v>
      </c>
      <c r="C13" s="25" t="s">
        <v>168</v>
      </c>
      <c r="D13" s="45"/>
      <c r="E13" s="46"/>
      <c r="F13" s="45"/>
      <c r="G13" s="46"/>
      <c r="H13" s="46"/>
      <c r="I13" s="33"/>
      <c r="J13" s="33"/>
      <c r="K13" s="33"/>
      <c r="L13" s="46"/>
      <c r="M13" s="46"/>
      <c r="N13" s="46"/>
      <c r="O13" s="33"/>
      <c r="Q13" s="33">
        <f t="shared" si="1"/>
        <v>0</v>
      </c>
      <c r="R13"/>
    </row>
    <row r="14" spans="2:18" ht="18" x14ac:dyDescent="0.45">
      <c r="B14" s="25">
        <v>9</v>
      </c>
      <c r="C14" s="25" t="s">
        <v>90</v>
      </c>
      <c r="D14" s="45"/>
      <c r="E14" s="46"/>
      <c r="F14" s="45"/>
      <c r="G14" s="46"/>
      <c r="H14" s="46"/>
      <c r="I14" s="33"/>
      <c r="J14" s="33"/>
      <c r="K14" s="33"/>
      <c r="L14" s="46"/>
      <c r="M14" s="46"/>
      <c r="N14" s="46"/>
      <c r="O14" s="46"/>
      <c r="Q14" s="33">
        <f t="shared" si="1"/>
        <v>0</v>
      </c>
      <c r="R14"/>
    </row>
    <row r="15" spans="2:18" ht="18" x14ac:dyDescent="0.45">
      <c r="B15" s="25">
        <v>10</v>
      </c>
      <c r="C15" s="25" t="s">
        <v>91</v>
      </c>
      <c r="D15" s="45"/>
      <c r="E15" s="45"/>
      <c r="F15" s="45"/>
      <c r="G15" s="46"/>
      <c r="H15" s="46"/>
      <c r="I15" s="33"/>
      <c r="J15" s="33"/>
      <c r="K15" s="33"/>
      <c r="L15" s="46"/>
      <c r="M15" s="46"/>
      <c r="N15" s="46"/>
      <c r="O15" s="46"/>
      <c r="Q15" s="33">
        <f t="shared" si="1"/>
        <v>0</v>
      </c>
      <c r="R15"/>
    </row>
    <row r="16" spans="2:18" ht="18" x14ac:dyDescent="0.45">
      <c r="B16" s="25">
        <v>11</v>
      </c>
      <c r="C16" s="25" t="s">
        <v>170</v>
      </c>
      <c r="D16" s="45"/>
      <c r="E16" s="46"/>
      <c r="F16" s="46"/>
      <c r="G16" s="45"/>
      <c r="H16" s="46"/>
      <c r="I16" s="33"/>
      <c r="J16" s="33"/>
      <c r="K16" s="33"/>
      <c r="L16" s="33"/>
      <c r="M16" s="46"/>
      <c r="N16" s="46"/>
      <c r="O16" s="46"/>
      <c r="Q16" s="33">
        <f t="shared" si="1"/>
        <v>0</v>
      </c>
      <c r="R16"/>
    </row>
    <row r="17" spans="2:18" ht="18" x14ac:dyDescent="0.45">
      <c r="B17" s="25">
        <v>12</v>
      </c>
      <c r="C17" s="25" t="s">
        <v>93</v>
      </c>
      <c r="D17" s="45"/>
      <c r="E17" s="45">
        <f>Feb.!T13</f>
        <v>-8750</v>
      </c>
      <c r="F17" s="46"/>
      <c r="G17" s="45"/>
      <c r="H17" s="46"/>
      <c r="I17" s="33"/>
      <c r="J17" s="33"/>
      <c r="K17" s="33"/>
      <c r="L17" s="46"/>
      <c r="M17" s="46"/>
      <c r="N17" s="46"/>
      <c r="O17" s="46"/>
      <c r="Q17" s="33">
        <f t="shared" si="1"/>
        <v>-8750</v>
      </c>
      <c r="R17"/>
    </row>
    <row r="18" spans="2:18" ht="18" x14ac:dyDescent="0.45">
      <c r="B18" s="25">
        <v>13</v>
      </c>
      <c r="C18" s="25" t="s">
        <v>94</v>
      </c>
      <c r="D18" s="45"/>
      <c r="E18" s="46"/>
      <c r="F18" s="46"/>
      <c r="G18" s="45"/>
      <c r="H18" s="46"/>
      <c r="I18" s="33"/>
      <c r="J18" s="33"/>
      <c r="K18" s="33"/>
      <c r="L18" s="46"/>
      <c r="M18" s="33"/>
      <c r="N18" s="46"/>
      <c r="O18" s="46"/>
      <c r="Q18" s="33">
        <f t="shared" si="1"/>
        <v>0</v>
      </c>
      <c r="R18"/>
    </row>
    <row r="19" spans="2:18" ht="18" x14ac:dyDescent="0.45">
      <c r="B19" s="25">
        <v>14</v>
      </c>
      <c r="C19" s="25" t="s">
        <v>95</v>
      </c>
      <c r="D19" s="45"/>
      <c r="E19" s="46"/>
      <c r="F19" s="46"/>
      <c r="G19" s="45"/>
      <c r="H19" s="46"/>
      <c r="I19" s="33"/>
      <c r="J19" s="33"/>
      <c r="K19" s="33"/>
      <c r="L19" s="46"/>
      <c r="M19" s="46"/>
      <c r="N19" s="46"/>
      <c r="O19" s="33"/>
      <c r="Q19" s="33">
        <f t="shared" si="1"/>
        <v>0</v>
      </c>
      <c r="R19"/>
    </row>
    <row r="20" spans="2:18" ht="18" x14ac:dyDescent="0.45">
      <c r="B20" s="25">
        <v>15</v>
      </c>
      <c r="C20" s="25" t="s">
        <v>96</v>
      </c>
      <c r="D20" s="45"/>
      <c r="E20" s="46"/>
      <c r="F20" s="45"/>
      <c r="G20" s="46"/>
      <c r="H20" s="33"/>
      <c r="I20" s="33"/>
      <c r="J20" s="33"/>
      <c r="K20" s="33"/>
      <c r="L20" s="46"/>
      <c r="M20" s="46"/>
      <c r="N20" s="46"/>
      <c r="O20" s="46"/>
      <c r="Q20" s="33">
        <f t="shared" si="1"/>
        <v>0</v>
      </c>
      <c r="R20"/>
    </row>
    <row r="21" spans="2:18" ht="18" x14ac:dyDescent="0.45">
      <c r="B21" s="25">
        <v>16</v>
      </c>
      <c r="C21" s="25" t="s">
        <v>174</v>
      </c>
      <c r="D21" s="45"/>
      <c r="E21" s="46"/>
      <c r="F21" s="46"/>
      <c r="G21" s="46"/>
      <c r="H21" s="33"/>
      <c r="I21" s="33"/>
      <c r="J21" s="33"/>
      <c r="K21" s="33"/>
      <c r="L21" s="46"/>
      <c r="M21" s="46"/>
      <c r="N21" s="46"/>
      <c r="O21" s="46"/>
      <c r="Q21" s="33">
        <f t="shared" si="1"/>
        <v>0</v>
      </c>
      <c r="R21"/>
    </row>
    <row r="22" spans="2:18" ht="18" x14ac:dyDescent="0.45">
      <c r="B22" s="25">
        <v>17</v>
      </c>
      <c r="C22" s="130" t="s">
        <v>171</v>
      </c>
      <c r="D22" s="45"/>
      <c r="E22" s="46"/>
      <c r="F22" s="46"/>
      <c r="G22" s="46"/>
      <c r="H22" s="46"/>
      <c r="I22" s="33"/>
      <c r="J22" s="46"/>
      <c r="K22" s="33"/>
      <c r="L22" s="46"/>
      <c r="M22" s="46"/>
      <c r="N22" s="46"/>
      <c r="O22" s="46"/>
      <c r="Q22" s="33">
        <f t="shared" si="1"/>
        <v>0</v>
      </c>
      <c r="R22"/>
    </row>
    <row r="23" spans="2:18" ht="18" x14ac:dyDescent="0.45">
      <c r="B23" s="25">
        <v>18</v>
      </c>
      <c r="C23" s="25" t="s">
        <v>99</v>
      </c>
      <c r="D23" s="45"/>
      <c r="E23" s="45"/>
      <c r="F23" s="46"/>
      <c r="G23" s="46"/>
      <c r="H23" s="46"/>
      <c r="I23" s="33"/>
      <c r="J23" s="44"/>
      <c r="K23" s="33"/>
      <c r="L23" s="46"/>
      <c r="M23" s="46"/>
      <c r="N23" s="46"/>
      <c r="O23" s="46"/>
      <c r="Q23" s="33">
        <f t="shared" si="1"/>
        <v>0</v>
      </c>
      <c r="R23"/>
    </row>
    <row r="24" spans="2:18" ht="18" x14ac:dyDescent="0.45">
      <c r="B24" s="25">
        <v>19</v>
      </c>
      <c r="C24" s="25" t="s">
        <v>173</v>
      </c>
      <c r="D24" s="45"/>
      <c r="E24" s="45"/>
      <c r="F24" s="45"/>
      <c r="G24" s="45"/>
      <c r="H24" s="46"/>
      <c r="I24" s="33"/>
      <c r="J24" s="33"/>
      <c r="K24" s="33"/>
      <c r="L24" s="46"/>
      <c r="M24" s="46"/>
      <c r="N24" s="46"/>
      <c r="O24" s="46"/>
      <c r="Q24" s="33">
        <f t="shared" si="1"/>
        <v>0</v>
      </c>
      <c r="R24"/>
    </row>
    <row r="25" spans="2:18" ht="18" x14ac:dyDescent="0.45">
      <c r="B25" s="25">
        <v>20</v>
      </c>
      <c r="C25" s="25" t="s">
        <v>127</v>
      </c>
      <c r="D25" s="45"/>
      <c r="E25" s="45"/>
      <c r="F25" s="45"/>
      <c r="G25" s="45"/>
      <c r="H25" s="46"/>
      <c r="I25" s="33"/>
      <c r="J25" s="46"/>
      <c r="K25" s="33"/>
      <c r="L25" s="45"/>
      <c r="M25" s="46"/>
      <c r="N25" s="46"/>
      <c r="O25" s="46"/>
      <c r="Q25" s="33">
        <f t="shared" si="1"/>
        <v>0</v>
      </c>
      <c r="R25"/>
    </row>
    <row r="26" spans="2:18" ht="18" x14ac:dyDescent="0.45">
      <c r="B26" s="25">
        <v>21</v>
      </c>
      <c r="C26" s="25" t="s">
        <v>182</v>
      </c>
      <c r="D26" s="45"/>
      <c r="E26" s="45">
        <f>Feb.!T17</f>
        <v>-500</v>
      </c>
      <c r="F26" s="46"/>
      <c r="G26" s="46"/>
      <c r="H26" s="46"/>
      <c r="I26" s="33"/>
      <c r="J26" s="46"/>
      <c r="K26" s="33"/>
      <c r="L26" s="45"/>
      <c r="M26" s="46"/>
      <c r="N26" s="46"/>
      <c r="O26" s="46"/>
      <c r="Q26" s="33">
        <f t="shared" si="1"/>
        <v>-500</v>
      </c>
      <c r="R26"/>
    </row>
    <row r="27" spans="2:18" ht="18" x14ac:dyDescent="0.45">
      <c r="B27" s="25">
        <v>22</v>
      </c>
      <c r="C27" s="25" t="str">
        <f>Oct!R15</f>
        <v>مبيدات</v>
      </c>
      <c r="D27" s="45"/>
      <c r="E27" s="46"/>
      <c r="F27" s="46"/>
      <c r="G27" s="46"/>
      <c r="H27" s="46"/>
      <c r="I27" s="33"/>
      <c r="J27" s="46"/>
      <c r="K27" s="46"/>
      <c r="L27" s="46"/>
      <c r="M27" s="45"/>
      <c r="N27" s="46"/>
      <c r="O27" s="46"/>
      <c r="Q27" s="33">
        <f t="shared" si="1"/>
        <v>0</v>
      </c>
      <c r="R27"/>
    </row>
    <row r="28" spans="2:18" ht="18" x14ac:dyDescent="0.45">
      <c r="B28" s="25">
        <v>23</v>
      </c>
      <c r="C28" s="25" t="s">
        <v>103</v>
      </c>
      <c r="D28" s="45"/>
      <c r="E28" s="46"/>
      <c r="F28" s="46"/>
      <c r="G28" s="45"/>
      <c r="H28" s="46"/>
      <c r="I28" s="33"/>
      <c r="J28" s="46"/>
      <c r="K28" s="46"/>
      <c r="L28" s="46"/>
      <c r="M28" s="45"/>
      <c r="N28" s="46"/>
      <c r="O28" s="46"/>
      <c r="Q28" s="33">
        <f t="shared" si="1"/>
        <v>0</v>
      </c>
      <c r="R28"/>
    </row>
    <row r="29" spans="2:18" ht="18" x14ac:dyDescent="0.45">
      <c r="B29" s="25">
        <v>24</v>
      </c>
      <c r="C29" s="25" t="s">
        <v>104</v>
      </c>
      <c r="D29" s="45"/>
      <c r="E29" s="45"/>
      <c r="F29" s="45"/>
      <c r="G29" s="46"/>
      <c r="H29" s="46"/>
      <c r="I29" s="33"/>
      <c r="J29" s="25"/>
      <c r="K29" s="25"/>
      <c r="L29" s="25"/>
      <c r="M29" s="25"/>
      <c r="N29" s="25"/>
      <c r="O29" s="25"/>
      <c r="Q29" s="33">
        <f t="shared" si="1"/>
        <v>0</v>
      </c>
      <c r="R29"/>
    </row>
    <row r="30" spans="2:18" ht="18" x14ac:dyDescent="0.45">
      <c r="B30" s="25">
        <v>25</v>
      </c>
      <c r="C30" s="25" t="s">
        <v>234</v>
      </c>
      <c r="D30" s="45"/>
      <c r="E30" s="45">
        <f>Feb.!T14</f>
        <v>-150</v>
      </c>
      <c r="F30" s="45"/>
      <c r="G30" s="46"/>
      <c r="H30" s="46"/>
      <c r="I30" s="33"/>
      <c r="J30" s="25"/>
      <c r="K30" s="25"/>
      <c r="L30" s="33"/>
      <c r="M30" s="25"/>
      <c r="N30" s="25"/>
      <c r="O30" s="25"/>
      <c r="Q30" s="33">
        <f>SUM(D30:P30)</f>
        <v>-150</v>
      </c>
      <c r="R30"/>
    </row>
    <row r="31" spans="2:18" ht="18" x14ac:dyDescent="0.45">
      <c r="B31" s="25">
        <v>26</v>
      </c>
      <c r="C31" s="33" t="s">
        <v>236</v>
      </c>
      <c r="D31" s="45"/>
      <c r="E31" s="45">
        <f>Feb.!T12</f>
        <v>-10000</v>
      </c>
      <c r="F31" s="45"/>
      <c r="G31" s="46"/>
      <c r="H31" s="46"/>
      <c r="I31" s="33"/>
      <c r="J31" s="25"/>
      <c r="K31" s="25"/>
      <c r="L31" s="33"/>
      <c r="M31" s="25"/>
      <c r="N31" s="25"/>
      <c r="O31" s="25"/>
      <c r="Q31" s="33">
        <f t="shared" si="1"/>
        <v>-10000</v>
      </c>
      <c r="R31"/>
    </row>
    <row r="32" spans="2:18" ht="18" x14ac:dyDescent="0.45">
      <c r="B32" s="25">
        <v>27</v>
      </c>
      <c r="C32" s="25" t="s">
        <v>189</v>
      </c>
      <c r="D32" s="45"/>
      <c r="E32" s="45">
        <f>Feb.!T16</f>
        <v>-800</v>
      </c>
      <c r="F32" s="45"/>
      <c r="G32" s="46"/>
      <c r="H32" s="46"/>
      <c r="I32" s="33"/>
      <c r="J32" s="25"/>
      <c r="K32" s="25"/>
      <c r="L32" s="33"/>
      <c r="M32" s="25"/>
      <c r="N32" s="25"/>
      <c r="O32" s="25"/>
      <c r="Q32" s="33">
        <f t="shared" si="1"/>
        <v>-800</v>
      </c>
      <c r="R32"/>
    </row>
    <row r="33" spans="2:18" ht="18" x14ac:dyDescent="0.45">
      <c r="B33" s="25">
        <v>28</v>
      </c>
      <c r="C33" s="25" t="s">
        <v>188</v>
      </c>
      <c r="D33" s="45"/>
      <c r="E33" s="45"/>
      <c r="F33" s="45"/>
      <c r="G33" s="46"/>
      <c r="H33" s="46"/>
      <c r="I33" s="33"/>
      <c r="J33" s="25"/>
      <c r="K33" s="25"/>
      <c r="L33" s="33"/>
      <c r="M33" s="25"/>
      <c r="N33" s="25"/>
      <c r="O33" s="25"/>
      <c r="Q33" s="33">
        <f t="shared" si="1"/>
        <v>0</v>
      </c>
      <c r="R33"/>
    </row>
    <row r="34" spans="2:18" ht="18" x14ac:dyDescent="0.45">
      <c r="B34" s="73">
        <v>29</v>
      </c>
      <c r="C34" s="25" t="s">
        <v>193</v>
      </c>
      <c r="D34" s="45"/>
      <c r="E34" s="45"/>
      <c r="F34" s="45"/>
      <c r="G34" s="46"/>
      <c r="H34" s="46"/>
      <c r="I34" s="33"/>
      <c r="J34" s="25"/>
      <c r="K34" s="25"/>
      <c r="L34" s="33"/>
      <c r="M34" s="25"/>
      <c r="N34" s="25"/>
      <c r="O34" s="25"/>
      <c r="Q34" s="33">
        <f>SUM(D34:P34)</f>
        <v>0</v>
      </c>
      <c r="R34"/>
    </row>
    <row r="35" spans="2:18" ht="18.399999999999999" thickBot="1" x14ac:dyDescent="0.5">
      <c r="B35" s="73">
        <v>30</v>
      </c>
      <c r="C35" s="33" t="str">
        <f>Dec!R15</f>
        <v>لوازم الجنينة</v>
      </c>
      <c r="D35" s="45"/>
      <c r="E35" s="45"/>
      <c r="F35" s="45"/>
      <c r="G35" s="46"/>
      <c r="H35" s="46"/>
      <c r="I35" s="33"/>
      <c r="J35" s="25"/>
      <c r="K35" s="25"/>
      <c r="L35" s="33"/>
      <c r="M35" s="25"/>
      <c r="N35" s="25"/>
      <c r="O35" s="33"/>
      <c r="Q35" s="33">
        <f>SUM(D35:P35)</f>
        <v>0</v>
      </c>
      <c r="R35"/>
    </row>
    <row r="36" spans="2:18" ht="39" customHeight="1" thickBot="1" x14ac:dyDescent="0.5">
      <c r="B36" s="24"/>
      <c r="C36" s="24" t="s">
        <v>28</v>
      </c>
      <c r="D36" s="49">
        <f>SUM(D6:D35)</f>
        <v>-9925</v>
      </c>
      <c r="E36" s="49">
        <f t="shared" ref="E36:O36" si="2">SUM(E6:E35)</f>
        <v>-30605</v>
      </c>
      <c r="F36" s="49">
        <f t="shared" si="2"/>
        <v>0</v>
      </c>
      <c r="G36" s="49">
        <f t="shared" si="2"/>
        <v>0</v>
      </c>
      <c r="H36" s="49">
        <f t="shared" si="2"/>
        <v>0</v>
      </c>
      <c r="I36" s="49">
        <f t="shared" si="2"/>
        <v>0</v>
      </c>
      <c r="J36" s="49">
        <f t="shared" si="2"/>
        <v>0</v>
      </c>
      <c r="K36" s="49">
        <f t="shared" si="2"/>
        <v>0</v>
      </c>
      <c r="L36" s="49">
        <f t="shared" si="2"/>
        <v>0</v>
      </c>
      <c r="M36" s="49">
        <f t="shared" si="2"/>
        <v>0</v>
      </c>
      <c r="N36" s="49">
        <f t="shared" si="2"/>
        <v>0</v>
      </c>
      <c r="O36" s="49">
        <f t="shared" si="2"/>
        <v>0</v>
      </c>
      <c r="Q36" s="49">
        <f>SUM(Q6:Q35)</f>
        <v>-40530</v>
      </c>
      <c r="R36"/>
    </row>
    <row r="38" spans="2:18" ht="18" x14ac:dyDescent="0.45">
      <c r="B38" s="25">
        <v>20</v>
      </c>
      <c r="C38" s="25" t="s">
        <v>164</v>
      </c>
      <c r="D38" s="45">
        <f>January!R32</f>
        <v>-700</v>
      </c>
      <c r="E38" s="45">
        <f>Feb.!T32</f>
        <v>-700</v>
      </c>
      <c r="F38" s="45">
        <f>Mar.!T30</f>
        <v>-700</v>
      </c>
      <c r="G38" s="45">
        <f>Apr.!S31</f>
        <v>-700</v>
      </c>
      <c r="H38" s="45">
        <f>May!S31</f>
        <v>-1700</v>
      </c>
      <c r="I38" s="45">
        <f>Jun!S31</f>
        <v>0</v>
      </c>
      <c r="J38" s="45">
        <f>Jul!S31</f>
        <v>0</v>
      </c>
      <c r="K38" s="45">
        <f>Aug!S31</f>
        <v>0</v>
      </c>
      <c r="L38" s="45">
        <f>Sep!S33</f>
        <v>0</v>
      </c>
      <c r="M38" s="45">
        <f>Oct!S31</f>
        <v>0</v>
      </c>
      <c r="N38" s="45">
        <f>Nov!S31</f>
        <v>0</v>
      </c>
      <c r="O38" s="45">
        <f>Dec!S31</f>
        <v>0</v>
      </c>
      <c r="Q38" s="52">
        <f>SUM(D38:O38)</f>
        <v>-4500</v>
      </c>
    </row>
    <row r="39" spans="2:18" ht="14.65" thickBot="1" x14ac:dyDescent="0.5"/>
    <row r="40" spans="2:18" ht="18" thickBot="1" x14ac:dyDescent="0.5">
      <c r="B40" s="24"/>
      <c r="C40" s="24" t="s">
        <v>28</v>
      </c>
      <c r="D40" s="49">
        <f>SUM(D36:D38)</f>
        <v>-10625</v>
      </c>
      <c r="E40" s="49">
        <f t="shared" ref="E40:O40" si="3">SUM(E36:E38)</f>
        <v>-31305</v>
      </c>
      <c r="F40" s="49">
        <f t="shared" si="3"/>
        <v>-700</v>
      </c>
      <c r="G40" s="49">
        <f t="shared" si="3"/>
        <v>-700</v>
      </c>
      <c r="H40" s="49">
        <f t="shared" si="3"/>
        <v>-1700</v>
      </c>
      <c r="I40" s="49">
        <f t="shared" si="3"/>
        <v>0</v>
      </c>
      <c r="J40" s="49">
        <f t="shared" si="3"/>
        <v>0</v>
      </c>
      <c r="K40" s="49">
        <f t="shared" si="3"/>
        <v>0</v>
      </c>
      <c r="L40" s="49">
        <f t="shared" si="3"/>
        <v>0</v>
      </c>
      <c r="M40" s="49">
        <f t="shared" si="3"/>
        <v>0</v>
      </c>
      <c r="N40" s="49">
        <f t="shared" si="3"/>
        <v>0</v>
      </c>
      <c r="O40" s="49">
        <f t="shared" si="3"/>
        <v>0</v>
      </c>
      <c r="Q40" s="49">
        <f>SUM(Q36:Q38)</f>
        <v>-45030</v>
      </c>
      <c r="R40" s="48" t="b">
        <f>Q40='Summary Sheet'!Q24</f>
        <v>0</v>
      </c>
    </row>
    <row r="42" spans="2:18" x14ac:dyDescent="0.45">
      <c r="E42" s="152">
        <f>E40-Feb.!T32-Feb.!T26</f>
        <v>0</v>
      </c>
    </row>
  </sheetData>
  <mergeCells count="3">
    <mergeCell ref="B4:O4"/>
    <mergeCell ref="B3:O3"/>
    <mergeCell ref="Q3:Q5"/>
  </mergeCells>
  <phoneticPr fontId="12" type="noConversion"/>
  <pageMargins left="0.7" right="0.7" top="0.75" bottom="0.75" header="0.3" footer="0.3"/>
  <pageSetup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53AE-EBA5-4C79-A75A-E5EA0D903C7D}">
  <sheetPr>
    <pageSetUpPr fitToPage="1"/>
  </sheetPr>
  <dimension ref="A1:BS62"/>
  <sheetViews>
    <sheetView showGridLines="0" topLeftCell="A2" zoomScale="55" zoomScaleNormal="55" workbookViewId="0">
      <selection activeCell="AJ7" sqref="AJ7"/>
    </sheetView>
  </sheetViews>
  <sheetFormatPr defaultColWidth="0" defaultRowHeight="21" zeroHeight="1" outlineLevelCol="1" x14ac:dyDescent="0.65"/>
  <cols>
    <col min="1" max="1" width="9.1328125" customWidth="1"/>
    <col min="2" max="2" width="14.86328125" hidden="1" customWidth="1"/>
    <col min="3" max="3" width="42.73046875" hidden="1" customWidth="1"/>
    <col min="4" max="4" width="21.86328125" hidden="1" customWidth="1" outlineLevel="1"/>
    <col min="5" max="13" width="15.59765625" style="48" hidden="1" customWidth="1" outlineLevel="1"/>
    <col min="14" max="14" width="21.265625" style="48" hidden="1" customWidth="1" outlineLevel="1"/>
    <col min="15" max="15" width="15.59765625" style="48" hidden="1" customWidth="1" outlineLevel="1"/>
    <col min="16" max="16" width="1.73046875" style="48" hidden="1" customWidth="1" collapsed="1"/>
    <col min="17" max="17" width="18.1328125" style="48" hidden="1" customWidth="1"/>
    <col min="18" max="18" width="15.59765625" style="48" hidden="1" customWidth="1"/>
    <col min="19" max="30" width="0" hidden="1" customWidth="1"/>
    <col min="31" max="31" width="42.73046875" hidden="1" customWidth="1"/>
    <col min="32" max="32" width="10.3984375" hidden="1" customWidth="1"/>
    <col min="33" max="33" width="0" hidden="1" customWidth="1"/>
    <col min="34" max="34" width="9.1328125" customWidth="1"/>
    <col min="35" max="35" width="54.59765625" style="59" customWidth="1"/>
    <col min="36" max="36" width="17.3984375" customWidth="1"/>
    <col min="37" max="37" width="10.1328125" bestFit="1" customWidth="1"/>
    <col min="38" max="71" width="9.1328125" customWidth="1"/>
    <col min="72" max="16384" width="9.1328125" hidden="1"/>
  </cols>
  <sheetData>
    <row r="1" spans="2:37" x14ac:dyDescent="0.65"/>
    <row r="2" spans="2:37" x14ac:dyDescent="0.65"/>
    <row r="3" spans="2:37" ht="23.25" x14ac:dyDescent="0.7">
      <c r="B3" s="162" t="s">
        <v>25</v>
      </c>
      <c r="C3" s="16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Q3" s="170" t="s">
        <v>12</v>
      </c>
      <c r="R3" s="170" t="s">
        <v>136</v>
      </c>
    </row>
    <row r="4" spans="2:37" ht="23.65" thickBot="1" x14ac:dyDescent="0.75">
      <c r="B4" s="162" t="s">
        <v>137</v>
      </c>
      <c r="C4" s="163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Q4" s="170"/>
      <c r="R4" s="170"/>
    </row>
    <row r="5" spans="2:37" ht="44.65" customHeight="1" thickBot="1" x14ac:dyDescent="0.5">
      <c r="Q5" s="170"/>
      <c r="R5" s="170"/>
      <c r="AE5" s="24" t="s">
        <v>81</v>
      </c>
      <c r="AF5" s="54" t="s">
        <v>138</v>
      </c>
      <c r="AI5" s="60" t="s">
        <v>81</v>
      </c>
      <c r="AJ5" s="54" t="s">
        <v>138</v>
      </c>
      <c r="AK5" s="24" t="s">
        <v>139</v>
      </c>
    </row>
    <row r="6" spans="2:37" ht="20.65" x14ac:dyDescent="0.45">
      <c r="Q6" s="170"/>
      <c r="R6" s="170"/>
      <c r="AE6" s="75"/>
      <c r="AF6" s="76"/>
      <c r="AI6" s="138" t="s">
        <v>12</v>
      </c>
      <c r="AJ6" s="140">
        <f>SUM(AJ1:AJ4)</f>
        <v>0</v>
      </c>
      <c r="AK6" s="142">
        <f>SUM(AK1:AK2)</f>
        <v>0</v>
      </c>
    </row>
    <row r="7" spans="2:37" x14ac:dyDescent="0.45">
      <c r="Q7" s="170"/>
      <c r="R7" s="170"/>
      <c r="AE7" s="75"/>
      <c r="AF7" s="76"/>
      <c r="AI7" s="61" t="s">
        <v>82</v>
      </c>
      <c r="AJ7" s="33">
        <f>'Annual expenses (combined)'!Q6</f>
        <v>-6000</v>
      </c>
      <c r="AK7" s="56">
        <f t="shared" ref="AK7:AK35" si="0">AJ7/$AJ$37</f>
        <v>0.13324450366422386</v>
      </c>
    </row>
    <row r="8" spans="2:37" x14ac:dyDescent="0.45">
      <c r="Q8" s="170"/>
      <c r="R8" s="170"/>
      <c r="AE8" s="75"/>
      <c r="AF8" s="76"/>
      <c r="AI8" s="61" t="s">
        <v>83</v>
      </c>
      <c r="AJ8" s="33">
        <f>'Annual expenses (combined)'!Q7</f>
        <v>-6155</v>
      </c>
      <c r="AK8" s="56">
        <f t="shared" si="0"/>
        <v>0.1366866533422163</v>
      </c>
    </row>
    <row r="9" spans="2:37" x14ac:dyDescent="0.45">
      <c r="Q9" s="170"/>
      <c r="R9" s="170"/>
      <c r="AE9" s="75"/>
      <c r="AF9" s="76"/>
      <c r="AI9" s="61" t="s">
        <v>84</v>
      </c>
      <c r="AJ9" s="33">
        <f>'Annual expenses (combined)'!Q8</f>
        <v>-5400</v>
      </c>
      <c r="AK9" s="56">
        <f t="shared" si="0"/>
        <v>0.11992005329780146</v>
      </c>
    </row>
    <row r="10" spans="2:37" x14ac:dyDescent="0.45">
      <c r="Q10" s="170"/>
      <c r="R10" s="170"/>
      <c r="AE10" s="75"/>
      <c r="AF10" s="76"/>
      <c r="AI10" s="61" t="s">
        <v>85</v>
      </c>
      <c r="AJ10" s="33">
        <f>'Annual expenses (combined)'!Q9</f>
        <v>-375</v>
      </c>
      <c r="AK10" s="56">
        <f t="shared" si="0"/>
        <v>8.327781479013991E-3</v>
      </c>
    </row>
    <row r="11" spans="2:37" x14ac:dyDescent="0.45">
      <c r="Q11" s="170"/>
      <c r="R11" s="170"/>
      <c r="AE11" s="75"/>
      <c r="AF11" s="76"/>
      <c r="AI11" s="61" t="s">
        <v>86</v>
      </c>
      <c r="AJ11" s="33">
        <f>'Annual expenses (combined)'!Q10</f>
        <v>-800</v>
      </c>
      <c r="AK11" s="56">
        <f t="shared" si="0"/>
        <v>1.7765933821896514E-2</v>
      </c>
    </row>
    <row r="12" spans="2:37" x14ac:dyDescent="0.45">
      <c r="Q12" s="170"/>
      <c r="R12" s="170"/>
      <c r="AE12" s="75"/>
      <c r="AF12" s="76"/>
      <c r="AI12" s="61" t="s">
        <v>88</v>
      </c>
      <c r="AJ12" s="33">
        <f>'Annual expenses (combined)'!Q11</f>
        <v>-1000</v>
      </c>
      <c r="AK12" s="56">
        <f t="shared" si="0"/>
        <v>2.220741727737064E-2</v>
      </c>
    </row>
    <row r="13" spans="2:37" x14ac:dyDescent="0.45">
      <c r="Q13" s="170"/>
      <c r="R13" s="170"/>
      <c r="AE13" s="75"/>
      <c r="AF13" s="76"/>
      <c r="AI13" s="61" t="s">
        <v>232</v>
      </c>
      <c r="AJ13" s="33">
        <f>'Annual expenses (combined)'!Q12</f>
        <v>-600</v>
      </c>
      <c r="AK13" s="56">
        <f t="shared" si="0"/>
        <v>1.3324450366422385E-2</v>
      </c>
    </row>
    <row r="14" spans="2:37" x14ac:dyDescent="0.45">
      <c r="Q14" s="170"/>
      <c r="R14" s="170"/>
      <c r="AE14" s="75"/>
      <c r="AF14" s="76"/>
      <c r="AI14" s="61" t="s">
        <v>168</v>
      </c>
      <c r="AJ14" s="33">
        <f>'Annual expenses (combined)'!Q13</f>
        <v>0</v>
      </c>
      <c r="AK14" s="56">
        <f t="shared" si="0"/>
        <v>0</v>
      </c>
    </row>
    <row r="15" spans="2:37" x14ac:dyDescent="0.45">
      <c r="Q15" s="170"/>
      <c r="R15" s="170"/>
      <c r="AE15" s="75"/>
      <c r="AF15" s="76"/>
      <c r="AI15" s="61" t="s">
        <v>90</v>
      </c>
      <c r="AJ15" s="33">
        <f>'Annual expenses (combined)'!Q14</f>
        <v>0</v>
      </c>
      <c r="AK15" s="56">
        <f t="shared" si="0"/>
        <v>0</v>
      </c>
    </row>
    <row r="16" spans="2:37" x14ac:dyDescent="0.45">
      <c r="Q16" s="170"/>
      <c r="R16" s="170"/>
      <c r="AE16" s="75"/>
      <c r="AF16" s="76"/>
      <c r="AI16" s="61" t="s">
        <v>91</v>
      </c>
      <c r="AJ16" s="33">
        <f>'Annual expenses (combined)'!Q15</f>
        <v>0</v>
      </c>
      <c r="AK16" s="56">
        <f t="shared" si="0"/>
        <v>0</v>
      </c>
    </row>
    <row r="17" spans="2:37" x14ac:dyDescent="0.45">
      <c r="Q17" s="170"/>
      <c r="R17" s="170"/>
      <c r="AE17" s="75"/>
      <c r="AF17" s="76"/>
      <c r="AI17" s="61" t="s">
        <v>170</v>
      </c>
      <c r="AJ17" s="33">
        <f>'Annual expenses (combined)'!Q16</f>
        <v>0</v>
      </c>
      <c r="AK17" s="56">
        <f t="shared" si="0"/>
        <v>0</v>
      </c>
    </row>
    <row r="18" spans="2:37" x14ac:dyDescent="0.45">
      <c r="Q18" s="170"/>
      <c r="R18" s="170"/>
      <c r="AE18" s="75"/>
      <c r="AF18" s="76"/>
      <c r="AI18" s="61" t="s">
        <v>93</v>
      </c>
      <c r="AJ18" s="33">
        <f>'Annual expenses (combined)'!Q17</f>
        <v>-8750</v>
      </c>
      <c r="AK18" s="56">
        <f t="shared" si="0"/>
        <v>0.19431490117699313</v>
      </c>
    </row>
    <row r="19" spans="2:37" ht="21.4" thickBot="1" x14ac:dyDescent="0.5">
      <c r="Q19" s="170"/>
      <c r="R19" s="170"/>
      <c r="AE19" s="75"/>
      <c r="AF19" s="76"/>
      <c r="AI19" s="61" t="s">
        <v>94</v>
      </c>
      <c r="AJ19" s="33">
        <f>'Annual expenses (combined)'!Q18</f>
        <v>0</v>
      </c>
      <c r="AK19" s="56">
        <f t="shared" si="0"/>
        <v>0</v>
      </c>
    </row>
    <row r="20" spans="2:37" ht="27" customHeight="1" thickBot="1" x14ac:dyDescent="0.5">
      <c r="B20" s="23" t="s">
        <v>16</v>
      </c>
      <c r="C20" s="24" t="s">
        <v>81</v>
      </c>
      <c r="D20" s="24" t="s">
        <v>140</v>
      </c>
      <c r="E20" s="24" t="s">
        <v>141</v>
      </c>
      <c r="F20" s="24" t="s">
        <v>142</v>
      </c>
      <c r="G20" s="24" t="s">
        <v>143</v>
      </c>
      <c r="H20" s="24" t="s">
        <v>4</v>
      </c>
      <c r="I20" s="24" t="s">
        <v>5</v>
      </c>
      <c r="J20" s="24" t="s">
        <v>6</v>
      </c>
      <c r="K20" s="24" t="s">
        <v>7</v>
      </c>
      <c r="L20" s="24" t="s">
        <v>8</v>
      </c>
      <c r="M20" s="24" t="s">
        <v>9</v>
      </c>
      <c r="N20" s="24" t="s">
        <v>10</v>
      </c>
      <c r="O20" s="24" t="s">
        <v>11</v>
      </c>
      <c r="Q20" s="171"/>
      <c r="R20" s="171"/>
      <c r="AE20" s="25" t="s">
        <v>144</v>
      </c>
      <c r="AF20" s="33">
        <v>-24500</v>
      </c>
      <c r="AG20" s="55">
        <f t="shared" ref="AG20:AG29" si="1">AF20/$AF$52</f>
        <v>0.307190771738449</v>
      </c>
      <c r="AI20" s="61" t="s">
        <v>95</v>
      </c>
      <c r="AJ20" s="33">
        <f>'Annual expenses (combined)'!Q19</f>
        <v>0</v>
      </c>
      <c r="AK20" s="56">
        <f t="shared" si="0"/>
        <v>0</v>
      </c>
    </row>
    <row r="21" spans="2:37" x14ac:dyDescent="0.55000000000000004">
      <c r="B21" s="25">
        <v>1</v>
      </c>
      <c r="C21" s="25" t="s">
        <v>82</v>
      </c>
      <c r="D21" s="45">
        <v>-2000</v>
      </c>
      <c r="E21" s="45">
        <v>-2000</v>
      </c>
      <c r="F21" s="45">
        <v>-2000</v>
      </c>
      <c r="G21" s="45">
        <v>-2000</v>
      </c>
      <c r="H21" s="33">
        <v>-2000</v>
      </c>
      <c r="I21" s="33">
        <v>-2000</v>
      </c>
      <c r="J21" s="33">
        <v>-2000</v>
      </c>
      <c r="K21" s="33">
        <v>-2000</v>
      </c>
      <c r="L21" s="33">
        <v>-2000</v>
      </c>
      <c r="M21" s="33">
        <v>-2000</v>
      </c>
      <c r="N21" s="33">
        <v>-2000</v>
      </c>
      <c r="O21" s="33">
        <v>-2500</v>
      </c>
      <c r="Q21" s="33">
        <f t="shared" ref="Q21:Q51" si="2">SUM(D21:P21)</f>
        <v>-24500</v>
      </c>
      <c r="R21" s="53">
        <f t="shared" ref="R21:R29" si="3">Q21/$Q$52</f>
        <v>0.307190771738449</v>
      </c>
      <c r="AE21" s="25" t="s">
        <v>83</v>
      </c>
      <c r="AF21" s="33">
        <v>-20675</v>
      </c>
      <c r="AG21" s="55">
        <f t="shared" si="1"/>
        <v>0.25923139615071156</v>
      </c>
      <c r="AI21" s="61" t="s">
        <v>96</v>
      </c>
      <c r="AJ21" s="33">
        <f>'Annual expenses (combined)'!Q20</f>
        <v>0</v>
      </c>
      <c r="AK21" s="56">
        <f t="shared" si="0"/>
        <v>0</v>
      </c>
    </row>
    <row r="22" spans="2:37" x14ac:dyDescent="0.55000000000000004">
      <c r="B22" s="25">
        <v>2</v>
      </c>
      <c r="C22" s="25" t="s">
        <v>83</v>
      </c>
      <c r="D22" s="45">
        <v>-2200</v>
      </c>
      <c r="E22" s="45">
        <v>-2200</v>
      </c>
      <c r="F22" s="45">
        <v>-1100</v>
      </c>
      <c r="G22" s="45">
        <v>-1100</v>
      </c>
      <c r="H22" s="33">
        <v>-1250</v>
      </c>
      <c r="I22" s="33">
        <v>-1300</v>
      </c>
      <c r="J22" s="33">
        <v>-1725</v>
      </c>
      <c r="K22" s="33">
        <v>-1720</v>
      </c>
      <c r="L22" s="33">
        <v>-1850</v>
      </c>
      <c r="M22" s="33">
        <v>-1830</v>
      </c>
      <c r="N22" s="33">
        <v>-2200</v>
      </c>
      <c r="O22" s="33">
        <v>-2200</v>
      </c>
      <c r="Q22" s="33">
        <f t="shared" si="2"/>
        <v>-20675</v>
      </c>
      <c r="R22" s="53">
        <f t="shared" si="3"/>
        <v>0.25923139615071156</v>
      </c>
      <c r="AE22" s="25" t="s">
        <v>84</v>
      </c>
      <c r="AF22" s="33">
        <v>-10700</v>
      </c>
      <c r="AG22" s="55">
        <f t="shared" si="1"/>
        <v>0.13416086765720017</v>
      </c>
      <c r="AI22" s="61" t="s">
        <v>174</v>
      </c>
      <c r="AJ22" s="33">
        <f>'Annual expenses (combined)'!Q21</f>
        <v>0</v>
      </c>
      <c r="AK22" s="56">
        <f t="shared" si="0"/>
        <v>0</v>
      </c>
    </row>
    <row r="23" spans="2:37" x14ac:dyDescent="0.55000000000000004">
      <c r="B23" s="25">
        <v>3</v>
      </c>
      <c r="C23" s="25" t="s">
        <v>84</v>
      </c>
      <c r="D23" s="46">
        <v>0</v>
      </c>
      <c r="E23" s="45">
        <v>-1200</v>
      </c>
      <c r="F23" s="45">
        <v>-1000</v>
      </c>
      <c r="G23" s="45">
        <v>-1000</v>
      </c>
      <c r="H23" s="33">
        <v>-1000</v>
      </c>
      <c r="I23" s="33">
        <v>-1000</v>
      </c>
      <c r="J23" s="33">
        <v>-1000</v>
      </c>
      <c r="K23" s="33"/>
      <c r="L23" s="33">
        <v>-1000</v>
      </c>
      <c r="M23" s="33">
        <v>-1000</v>
      </c>
      <c r="N23" s="33">
        <v>-1500</v>
      </c>
      <c r="O23" s="33">
        <v>-1000</v>
      </c>
      <c r="Q23" s="33">
        <f t="shared" si="2"/>
        <v>-10700</v>
      </c>
      <c r="R23" s="53">
        <f t="shared" si="3"/>
        <v>0.13416086765720017</v>
      </c>
      <c r="AE23" s="25" t="s">
        <v>86</v>
      </c>
      <c r="AF23" s="33">
        <v>-3600</v>
      </c>
      <c r="AG23" s="55">
        <f t="shared" si="1"/>
        <v>4.5138235847282299E-2</v>
      </c>
      <c r="AI23" s="61" t="s">
        <v>171</v>
      </c>
      <c r="AJ23" s="33">
        <f>'Annual expenses (combined)'!Q22</f>
        <v>0</v>
      </c>
      <c r="AK23" s="56">
        <f t="shared" si="0"/>
        <v>0</v>
      </c>
    </row>
    <row r="24" spans="2:37" x14ac:dyDescent="0.55000000000000004">
      <c r="B24" s="25">
        <v>4</v>
      </c>
      <c r="C24" s="25" t="s">
        <v>86</v>
      </c>
      <c r="D24" s="45">
        <v>-300</v>
      </c>
      <c r="E24" s="45">
        <v>-300</v>
      </c>
      <c r="F24" s="45">
        <v>-300</v>
      </c>
      <c r="G24" s="45">
        <v>-300</v>
      </c>
      <c r="H24" s="33">
        <v>-300</v>
      </c>
      <c r="I24" s="33">
        <v>-300</v>
      </c>
      <c r="J24" s="33">
        <v>-300</v>
      </c>
      <c r="K24" s="33">
        <v>-300</v>
      </c>
      <c r="L24" s="33">
        <v>-300</v>
      </c>
      <c r="M24" s="33">
        <v>-300</v>
      </c>
      <c r="N24" s="33">
        <v>-300</v>
      </c>
      <c r="O24" s="33">
        <v>-300</v>
      </c>
      <c r="Q24" s="33">
        <f t="shared" si="2"/>
        <v>-3600</v>
      </c>
      <c r="R24" s="53">
        <f t="shared" si="3"/>
        <v>4.5138235847282299E-2</v>
      </c>
      <c r="AE24" s="25" t="s">
        <v>88</v>
      </c>
      <c r="AF24" s="33">
        <v>-3760</v>
      </c>
      <c r="AG24" s="55">
        <f t="shared" si="1"/>
        <v>4.7144379662717069E-2</v>
      </c>
      <c r="AI24" s="61" t="s">
        <v>99</v>
      </c>
      <c r="AJ24" s="33">
        <f>'Annual expenses (combined)'!Q23</f>
        <v>0</v>
      </c>
      <c r="AK24" s="56">
        <f t="shared" si="0"/>
        <v>0</v>
      </c>
    </row>
    <row r="25" spans="2:37" x14ac:dyDescent="0.55000000000000004">
      <c r="B25" s="25">
        <v>5</v>
      </c>
      <c r="C25" s="25" t="s">
        <v>88</v>
      </c>
      <c r="D25" s="45">
        <v>-300</v>
      </c>
      <c r="E25" s="45">
        <v>-600</v>
      </c>
      <c r="F25" s="45">
        <v>-300</v>
      </c>
      <c r="G25" s="46">
        <v>0</v>
      </c>
      <c r="H25" s="33">
        <v>-350</v>
      </c>
      <c r="I25" s="33">
        <v>-360</v>
      </c>
      <c r="J25" s="33">
        <v>-400</v>
      </c>
      <c r="K25" s="33">
        <v>-400</v>
      </c>
      <c r="L25" s="33">
        <v>-300</v>
      </c>
      <c r="M25" s="46">
        <v>0</v>
      </c>
      <c r="N25" s="33">
        <v>-400</v>
      </c>
      <c r="O25" s="33">
        <v>-350</v>
      </c>
      <c r="Q25" s="33">
        <f t="shared" si="2"/>
        <v>-3760</v>
      </c>
      <c r="R25" s="53">
        <f t="shared" si="3"/>
        <v>4.7144379662717069E-2</v>
      </c>
      <c r="AE25" s="25" t="s">
        <v>145</v>
      </c>
      <c r="AF25" s="33">
        <v>-3800</v>
      </c>
      <c r="AG25" s="55">
        <f t="shared" si="1"/>
        <v>4.7645915616575767E-2</v>
      </c>
      <c r="AI25" s="61" t="s">
        <v>173</v>
      </c>
      <c r="AJ25" s="33">
        <f>'Annual expenses (combined)'!Q24</f>
        <v>0</v>
      </c>
      <c r="AK25" s="56">
        <f t="shared" si="0"/>
        <v>0</v>
      </c>
    </row>
    <row r="26" spans="2:37" x14ac:dyDescent="0.55000000000000004">
      <c r="B26" s="25">
        <v>6</v>
      </c>
      <c r="C26" s="25" t="s">
        <v>145</v>
      </c>
      <c r="D26" s="46">
        <v>0</v>
      </c>
      <c r="E26" s="46">
        <v>0</v>
      </c>
      <c r="F26" s="46">
        <v>0</v>
      </c>
      <c r="G26" s="45">
        <v>-1500</v>
      </c>
      <c r="H26" s="46">
        <v>0</v>
      </c>
      <c r="I26" s="33">
        <v>-2300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Q26" s="33">
        <f t="shared" si="2"/>
        <v>-3800</v>
      </c>
      <c r="R26" s="53">
        <f t="shared" si="3"/>
        <v>4.7645915616575767E-2</v>
      </c>
      <c r="AE26" s="25" t="s">
        <v>85</v>
      </c>
      <c r="AF26" s="33">
        <v>-2100</v>
      </c>
      <c r="AG26" s="55">
        <f t="shared" si="1"/>
        <v>2.6330637577581344E-2</v>
      </c>
      <c r="AI26" s="61" t="s">
        <v>127</v>
      </c>
      <c r="AJ26" s="33">
        <f>'Annual expenses (combined)'!Q25</f>
        <v>0</v>
      </c>
      <c r="AK26" s="56">
        <f t="shared" si="0"/>
        <v>0</v>
      </c>
    </row>
    <row r="27" spans="2:37" x14ac:dyDescent="0.55000000000000004">
      <c r="B27" s="25">
        <v>7</v>
      </c>
      <c r="C27" s="25" t="s">
        <v>85</v>
      </c>
      <c r="D27" s="45">
        <v>-200</v>
      </c>
      <c r="E27" s="45">
        <v>-100</v>
      </c>
      <c r="F27" s="45">
        <v>-200</v>
      </c>
      <c r="G27" s="45">
        <v>-200</v>
      </c>
      <c r="H27" s="33">
        <v>-200</v>
      </c>
      <c r="I27" s="33">
        <v>-100</v>
      </c>
      <c r="J27" s="33">
        <v>-200</v>
      </c>
      <c r="K27" s="33">
        <v>-200</v>
      </c>
      <c r="L27" s="33">
        <v>-100</v>
      </c>
      <c r="M27" s="33">
        <v>-200</v>
      </c>
      <c r="N27" s="33">
        <v>-200</v>
      </c>
      <c r="O27" s="33">
        <v>-200</v>
      </c>
      <c r="Q27" s="33">
        <f t="shared" si="2"/>
        <v>-2100</v>
      </c>
      <c r="R27" s="53">
        <f t="shared" si="3"/>
        <v>2.6330637577581344E-2</v>
      </c>
      <c r="AE27" s="25" t="s">
        <v>92</v>
      </c>
      <c r="AF27" s="33">
        <v>-2000</v>
      </c>
      <c r="AG27" s="55">
        <f t="shared" si="1"/>
        <v>2.5076797692934614E-2</v>
      </c>
      <c r="AI27" s="61" t="s">
        <v>182</v>
      </c>
      <c r="AJ27" s="33">
        <f>'Annual expenses (combined)'!Q26</f>
        <v>-500</v>
      </c>
      <c r="AK27" s="56">
        <f t="shared" si="0"/>
        <v>1.110370863868532E-2</v>
      </c>
    </row>
    <row r="28" spans="2:37" x14ac:dyDescent="0.55000000000000004">
      <c r="B28" s="25">
        <v>8</v>
      </c>
      <c r="C28" s="25" t="s">
        <v>92</v>
      </c>
      <c r="D28" s="46">
        <v>0</v>
      </c>
      <c r="E28" s="46">
        <v>0</v>
      </c>
      <c r="F28" s="46">
        <v>0</v>
      </c>
      <c r="G28" s="45">
        <v>-1000</v>
      </c>
      <c r="H28" s="46">
        <v>0</v>
      </c>
      <c r="I28" s="33">
        <v>-1000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Q28" s="33">
        <f t="shared" si="2"/>
        <v>-2000</v>
      </c>
      <c r="R28" s="53">
        <f t="shared" si="3"/>
        <v>2.5076797692934614E-2</v>
      </c>
      <c r="AE28" s="25" t="s">
        <v>87</v>
      </c>
      <c r="AF28" s="33">
        <v>-1500</v>
      </c>
      <c r="AG28" s="55">
        <f t="shared" si="1"/>
        <v>1.8807598269700958E-2</v>
      </c>
      <c r="AI28" s="61" t="s">
        <v>190</v>
      </c>
      <c r="AJ28" s="33">
        <f>'Annual expenses (combined)'!Q27</f>
        <v>0</v>
      </c>
      <c r="AK28" s="56">
        <f t="shared" si="0"/>
        <v>0</v>
      </c>
    </row>
    <row r="29" spans="2:37" x14ac:dyDescent="0.55000000000000004">
      <c r="B29" s="25">
        <v>9</v>
      </c>
      <c r="C29" s="25" t="s">
        <v>87</v>
      </c>
      <c r="D29" s="45">
        <v>-400</v>
      </c>
      <c r="E29" s="45">
        <v>-500</v>
      </c>
      <c r="F29" s="46">
        <v>0</v>
      </c>
      <c r="G29" s="45">
        <v>-300</v>
      </c>
      <c r="H29" s="46">
        <v>0</v>
      </c>
      <c r="I29" s="46">
        <v>0</v>
      </c>
      <c r="J29" s="34">
        <v>0</v>
      </c>
      <c r="K29" s="34">
        <v>0</v>
      </c>
      <c r="L29" s="34">
        <v>0</v>
      </c>
      <c r="M29" s="33">
        <v>-300</v>
      </c>
      <c r="N29" s="46">
        <v>0</v>
      </c>
      <c r="O29" s="46">
        <v>0</v>
      </c>
      <c r="Q29" s="33">
        <f t="shared" si="2"/>
        <v>-1500</v>
      </c>
      <c r="R29" s="53">
        <f t="shared" si="3"/>
        <v>1.8807598269700958E-2</v>
      </c>
      <c r="AE29" s="25" t="s">
        <v>146</v>
      </c>
      <c r="AF29" s="33">
        <v>-1600</v>
      </c>
      <c r="AG29" s="55">
        <f t="shared" si="1"/>
        <v>2.0061438154347688E-2</v>
      </c>
      <c r="AI29" s="61" t="s">
        <v>103</v>
      </c>
      <c r="AJ29" s="33">
        <f>'Annual expenses (combined)'!Q28</f>
        <v>0</v>
      </c>
      <c r="AK29" s="56">
        <f t="shared" si="0"/>
        <v>0</v>
      </c>
    </row>
    <row r="30" spans="2:37" x14ac:dyDescent="0.55000000000000004">
      <c r="B30" s="25"/>
      <c r="C30" s="25"/>
      <c r="D30" s="45"/>
      <c r="E30" s="45"/>
      <c r="F30" s="46"/>
      <c r="G30" s="45"/>
      <c r="H30" s="46"/>
      <c r="I30" s="46"/>
      <c r="J30" s="34"/>
      <c r="K30" s="34"/>
      <c r="L30" s="34"/>
      <c r="M30" s="33"/>
      <c r="N30" s="46"/>
      <c r="O30" s="46"/>
      <c r="Q30" s="33"/>
      <c r="R30" s="53"/>
      <c r="AE30" s="25"/>
      <c r="AF30" s="33"/>
      <c r="AG30" s="55"/>
      <c r="AI30" s="61" t="s">
        <v>104</v>
      </c>
      <c r="AJ30" s="33">
        <f>'Annual expenses (combined)'!Q29</f>
        <v>0</v>
      </c>
      <c r="AK30" s="56">
        <f t="shared" si="0"/>
        <v>0</v>
      </c>
    </row>
    <row r="31" spans="2:37" x14ac:dyDescent="0.55000000000000004">
      <c r="B31" s="25"/>
      <c r="C31" s="25"/>
      <c r="D31" s="45"/>
      <c r="E31" s="45"/>
      <c r="F31" s="46"/>
      <c r="G31" s="45"/>
      <c r="H31" s="46"/>
      <c r="I31" s="46"/>
      <c r="J31" s="34"/>
      <c r="K31" s="34"/>
      <c r="L31" s="34"/>
      <c r="M31" s="33"/>
      <c r="N31" s="46"/>
      <c r="O31" s="46"/>
      <c r="Q31" s="33"/>
      <c r="R31" s="53"/>
      <c r="AE31" s="25"/>
      <c r="AF31" s="33"/>
      <c r="AG31" s="55"/>
      <c r="AI31" s="61" t="s">
        <v>187</v>
      </c>
      <c r="AJ31" s="33">
        <f>'Annual expenses (combined)'!Q30</f>
        <v>-150</v>
      </c>
      <c r="AK31" s="56">
        <f t="shared" si="0"/>
        <v>3.3311125916055963E-3</v>
      </c>
    </row>
    <row r="32" spans="2:37" x14ac:dyDescent="0.55000000000000004">
      <c r="B32" s="25"/>
      <c r="C32" s="25"/>
      <c r="D32" s="45"/>
      <c r="E32" s="45"/>
      <c r="F32" s="46"/>
      <c r="G32" s="45"/>
      <c r="H32" s="46"/>
      <c r="I32" s="46"/>
      <c r="J32" s="34"/>
      <c r="K32" s="34"/>
      <c r="L32" s="34"/>
      <c r="M32" s="33"/>
      <c r="N32" s="46"/>
      <c r="O32" s="46"/>
      <c r="Q32" s="33"/>
      <c r="R32" s="53"/>
      <c r="AE32" s="25"/>
      <c r="AF32" s="33"/>
      <c r="AG32" s="55"/>
      <c r="AI32" s="61" t="s">
        <v>186</v>
      </c>
      <c r="AJ32" s="33">
        <f>'Annual expenses (combined)'!Q31</f>
        <v>-10000</v>
      </c>
      <c r="AK32" s="56">
        <f t="shared" si="0"/>
        <v>0.22207417277370642</v>
      </c>
    </row>
    <row r="33" spans="2:37" x14ac:dyDescent="0.55000000000000004">
      <c r="B33" s="25"/>
      <c r="C33" s="25"/>
      <c r="D33" s="45"/>
      <c r="E33" s="45"/>
      <c r="F33" s="46"/>
      <c r="G33" s="45"/>
      <c r="H33" s="46"/>
      <c r="I33" s="46"/>
      <c r="J33" s="34"/>
      <c r="K33" s="34"/>
      <c r="L33" s="34"/>
      <c r="M33" s="33"/>
      <c r="N33" s="46"/>
      <c r="O33" s="46"/>
      <c r="Q33" s="33"/>
      <c r="R33" s="53"/>
      <c r="AE33" s="25"/>
      <c r="AF33" s="33"/>
      <c r="AG33" s="55"/>
      <c r="AI33" s="61" t="s">
        <v>189</v>
      </c>
      <c r="AJ33" s="33">
        <f>'Annual expenses (combined)'!Q32</f>
        <v>-800</v>
      </c>
      <c r="AK33" s="56">
        <f t="shared" si="0"/>
        <v>1.7765933821896514E-2</v>
      </c>
    </row>
    <row r="34" spans="2:37" x14ac:dyDescent="0.55000000000000004">
      <c r="B34" s="25"/>
      <c r="C34" s="25"/>
      <c r="D34" s="45"/>
      <c r="E34" s="45"/>
      <c r="F34" s="46"/>
      <c r="G34" s="45"/>
      <c r="H34" s="46"/>
      <c r="I34" s="46"/>
      <c r="J34" s="34"/>
      <c r="K34" s="34"/>
      <c r="L34" s="34"/>
      <c r="M34" s="33"/>
      <c r="N34" s="46"/>
      <c r="O34" s="46"/>
      <c r="Q34" s="33"/>
      <c r="R34" s="53"/>
      <c r="AE34" s="25"/>
      <c r="AF34" s="33"/>
      <c r="AG34" s="55"/>
      <c r="AI34" s="61" t="s">
        <v>188</v>
      </c>
      <c r="AJ34" s="33">
        <f>'Annual expenses (combined)'!Q33</f>
        <v>0</v>
      </c>
      <c r="AK34" s="56">
        <f t="shared" si="0"/>
        <v>0</v>
      </c>
    </row>
    <row r="35" spans="2:37" x14ac:dyDescent="0.55000000000000004">
      <c r="B35" s="25"/>
      <c r="C35" s="25"/>
      <c r="D35" s="45"/>
      <c r="E35" s="45"/>
      <c r="F35" s="46"/>
      <c r="G35" s="45"/>
      <c r="H35" s="46"/>
      <c r="I35" s="46"/>
      <c r="J35" s="34"/>
      <c r="K35" s="34"/>
      <c r="L35" s="34"/>
      <c r="M35" s="33"/>
      <c r="N35" s="46"/>
      <c r="O35" s="46"/>
      <c r="Q35" s="33"/>
      <c r="R35" s="53"/>
      <c r="AE35" s="25"/>
      <c r="AF35" s="33"/>
      <c r="AG35" s="55"/>
      <c r="AI35" s="61" t="s">
        <v>193</v>
      </c>
      <c r="AJ35" s="33">
        <f>'Annual expenses (combined)'!Q34</f>
        <v>0</v>
      </c>
      <c r="AK35" s="56">
        <f t="shared" si="0"/>
        <v>0</v>
      </c>
    </row>
    <row r="36" spans="2:37" ht="21.4" thickBot="1" x14ac:dyDescent="0.6">
      <c r="B36" s="25"/>
      <c r="C36" s="25"/>
      <c r="D36" s="45"/>
      <c r="E36" s="45"/>
      <c r="F36" s="46"/>
      <c r="G36" s="45"/>
      <c r="H36" s="46"/>
      <c r="I36" s="46"/>
      <c r="J36" s="34"/>
      <c r="K36" s="34"/>
      <c r="L36" s="34"/>
      <c r="M36" s="33"/>
      <c r="N36" s="46"/>
      <c r="O36" s="46"/>
      <c r="Q36" s="33"/>
      <c r="R36" s="53"/>
      <c r="AE36" s="25"/>
      <c r="AF36" s="33"/>
      <c r="AG36" s="55"/>
      <c r="AI36" s="144" t="s">
        <v>164</v>
      </c>
      <c r="AJ36" s="33">
        <f>'Annual expenses (combined)'!Q38</f>
        <v>-4500</v>
      </c>
      <c r="AK36" s="145"/>
    </row>
    <row r="37" spans="2:37" ht="21.4" thickBot="1" x14ac:dyDescent="0.6">
      <c r="B37" s="25">
        <v>10</v>
      </c>
      <c r="C37" s="25" t="s">
        <v>146</v>
      </c>
      <c r="D37" s="46">
        <v>0</v>
      </c>
      <c r="E37" s="46">
        <v>0</v>
      </c>
      <c r="F37" s="46">
        <v>0</v>
      </c>
      <c r="G37" s="46">
        <v>0</v>
      </c>
      <c r="H37" s="33">
        <v>-1600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Q37" s="33">
        <f t="shared" si="2"/>
        <v>-1600</v>
      </c>
      <c r="R37" s="53">
        <f t="shared" ref="R37:R51" si="4">Q37/$Q$52</f>
        <v>2.0061438154347688E-2</v>
      </c>
      <c r="AE37" s="25"/>
      <c r="AF37" s="33"/>
      <c r="AG37" s="55"/>
      <c r="AI37" s="139"/>
      <c r="AJ37" s="141">
        <f>SUM(AJ7:AJ36)</f>
        <v>-45030</v>
      </c>
      <c r="AK37" s="143">
        <f>AJ37/$AJ$37</f>
        <v>1</v>
      </c>
    </row>
    <row r="38" spans="2:37" x14ac:dyDescent="0.65">
      <c r="B38" s="25">
        <v>11</v>
      </c>
      <c r="C38" s="25" t="s">
        <v>89</v>
      </c>
      <c r="D38" s="46">
        <v>0</v>
      </c>
      <c r="E38" s="46">
        <v>0</v>
      </c>
      <c r="F38" s="45">
        <v>-350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33">
        <v>-400</v>
      </c>
      <c r="Q38" s="33">
        <f t="shared" si="2"/>
        <v>-750</v>
      </c>
      <c r="R38" s="53">
        <f t="shared" si="4"/>
        <v>9.4037991348504789E-3</v>
      </c>
      <c r="AE38" s="25" t="s">
        <v>89</v>
      </c>
      <c r="AF38" s="33">
        <v>-750</v>
      </c>
      <c r="AG38" s="55">
        <f t="shared" ref="AG38:AG51" si="5">AF38/$AF$52</f>
        <v>9.4037991348504789E-3</v>
      </c>
    </row>
    <row r="39" spans="2:37" ht="28.5" x14ac:dyDescent="0.85">
      <c r="B39" s="25">
        <v>12</v>
      </c>
      <c r="C39" s="25" t="s">
        <v>147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4">
        <v>-1000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Q39" s="33">
        <f t="shared" si="2"/>
        <v>-1000</v>
      </c>
      <c r="R39" s="53">
        <f t="shared" si="4"/>
        <v>1.2538398846467307E-2</v>
      </c>
      <c r="AE39" s="25" t="s">
        <v>147</v>
      </c>
      <c r="AF39" s="33">
        <v>-1000</v>
      </c>
      <c r="AG39" s="55">
        <f t="shared" si="5"/>
        <v>1.2538398846467307E-2</v>
      </c>
      <c r="AJ39" s="137">
        <f>AJ37-'Annual expenses (combined)'!Q40</f>
        <v>0</v>
      </c>
    </row>
    <row r="40" spans="2:37" ht="28.5" x14ac:dyDescent="0.85">
      <c r="B40" s="25">
        <v>13</v>
      </c>
      <c r="C40" s="25" t="s">
        <v>148</v>
      </c>
      <c r="D40" s="46">
        <v>0</v>
      </c>
      <c r="E40" s="46">
        <v>0</v>
      </c>
      <c r="F40" s="45">
        <v>-650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Q40" s="33">
        <f t="shared" si="2"/>
        <v>-650</v>
      </c>
      <c r="R40" s="53">
        <f t="shared" si="4"/>
        <v>8.1499592502037484E-3</v>
      </c>
      <c r="AE40" s="25" t="s">
        <v>148</v>
      </c>
      <c r="AF40" s="33">
        <v>-650</v>
      </c>
      <c r="AG40" s="55">
        <f t="shared" si="5"/>
        <v>8.1499592502037484E-3</v>
      </c>
      <c r="AJ40" s="117" t="b">
        <f>AJ37='Summary Sheet'!Q24</f>
        <v>0</v>
      </c>
    </row>
    <row r="41" spans="2:37" x14ac:dyDescent="0.65">
      <c r="B41" s="25">
        <v>14</v>
      </c>
      <c r="C41" s="25" t="s">
        <v>100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5">
        <v>-500</v>
      </c>
      <c r="L41" s="46">
        <v>0</v>
      </c>
      <c r="M41" s="46">
        <v>0</v>
      </c>
      <c r="N41" s="46">
        <v>0</v>
      </c>
      <c r="O41" s="46">
        <v>0</v>
      </c>
      <c r="Q41" s="33">
        <f t="shared" si="2"/>
        <v>-500</v>
      </c>
      <c r="R41" s="53">
        <f t="shared" si="4"/>
        <v>6.2691994232336535E-3</v>
      </c>
      <c r="AE41" s="25" t="s">
        <v>100</v>
      </c>
      <c r="AF41" s="33">
        <v>-500</v>
      </c>
      <c r="AG41" s="55">
        <f t="shared" si="5"/>
        <v>6.2691994232336535E-3</v>
      </c>
    </row>
    <row r="42" spans="2:37" x14ac:dyDescent="0.65">
      <c r="B42" s="25">
        <v>15</v>
      </c>
      <c r="C42" s="25" t="e">
        <f>#REF!</f>
        <v>#REF!</v>
      </c>
      <c r="D42" s="46">
        <v>0</v>
      </c>
      <c r="E42" s="46">
        <v>0</v>
      </c>
      <c r="F42" s="45">
        <v>-400</v>
      </c>
      <c r="G42" s="46">
        <v>0</v>
      </c>
      <c r="H42" s="46">
        <v>0</v>
      </c>
      <c r="I42" s="25"/>
      <c r="J42" s="25"/>
      <c r="K42" s="25"/>
      <c r="L42" s="25"/>
      <c r="M42" s="25"/>
      <c r="N42" s="25"/>
      <c r="O42" s="25"/>
      <c r="Q42" s="33">
        <f t="shared" si="2"/>
        <v>-400</v>
      </c>
      <c r="R42" s="53">
        <f t="shared" si="4"/>
        <v>5.0153595385869221E-3</v>
      </c>
      <c r="AE42" s="25" t="s">
        <v>149</v>
      </c>
      <c r="AF42" s="33">
        <v>-400</v>
      </c>
      <c r="AG42" s="55">
        <f t="shared" si="5"/>
        <v>5.0153595385869221E-3</v>
      </c>
    </row>
    <row r="43" spans="2:37" ht="25.5" customHeight="1" x14ac:dyDescent="0.65">
      <c r="B43" s="25">
        <v>16</v>
      </c>
      <c r="C43" s="25" t="s">
        <v>90</v>
      </c>
      <c r="D43" s="46">
        <v>0</v>
      </c>
      <c r="E43" s="46">
        <v>0</v>
      </c>
      <c r="F43" s="45">
        <v>-260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Q43" s="33">
        <f t="shared" si="2"/>
        <v>-260</v>
      </c>
      <c r="R43" s="53">
        <f t="shared" si="4"/>
        <v>3.2599837000814994E-3</v>
      </c>
      <c r="AE43" s="25" t="s">
        <v>90</v>
      </c>
      <c r="AF43" s="33">
        <v>-260</v>
      </c>
      <c r="AG43" s="55">
        <f t="shared" si="5"/>
        <v>3.2599837000814994E-3</v>
      </c>
    </row>
    <row r="44" spans="2:37" x14ac:dyDescent="0.65">
      <c r="B44" s="25">
        <v>17</v>
      </c>
      <c r="C44" s="25" t="s">
        <v>148</v>
      </c>
      <c r="D44" s="46">
        <v>0</v>
      </c>
      <c r="E44" s="46">
        <v>0</v>
      </c>
      <c r="F44" s="46">
        <v>0</v>
      </c>
      <c r="G44" s="45">
        <v>-250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Q44" s="33">
        <f t="shared" si="2"/>
        <v>-250</v>
      </c>
      <c r="R44" s="53">
        <f t="shared" si="4"/>
        <v>3.1345997116168267E-3</v>
      </c>
      <c r="AE44" s="25" t="s">
        <v>148</v>
      </c>
      <c r="AF44" s="33">
        <v>-250</v>
      </c>
      <c r="AG44" s="55">
        <f t="shared" si="5"/>
        <v>3.1345997116168267E-3</v>
      </c>
    </row>
    <row r="45" spans="2:37" x14ac:dyDescent="0.65">
      <c r="B45" s="25">
        <v>18</v>
      </c>
      <c r="C45" s="25" t="s">
        <v>94</v>
      </c>
      <c r="D45" s="46">
        <v>0</v>
      </c>
      <c r="E45" s="46">
        <v>0</v>
      </c>
      <c r="F45" s="46">
        <v>0</v>
      </c>
      <c r="G45" s="45">
        <v>-210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Q45" s="33">
        <f t="shared" si="2"/>
        <v>-210</v>
      </c>
      <c r="R45" s="53">
        <f t="shared" si="4"/>
        <v>2.6330637577581342E-3</v>
      </c>
      <c r="AE45" s="25" t="s">
        <v>94</v>
      </c>
      <c r="AF45" s="33">
        <v>-210</v>
      </c>
      <c r="AG45" s="55">
        <f t="shared" si="5"/>
        <v>2.6330637577581342E-3</v>
      </c>
    </row>
    <row r="46" spans="2:37" ht="21.4" thickBot="1" x14ac:dyDescent="0.7">
      <c r="B46" s="25">
        <v>19</v>
      </c>
      <c r="C46" s="25" t="s">
        <v>97</v>
      </c>
      <c r="D46" s="46">
        <v>0</v>
      </c>
      <c r="E46" s="46">
        <v>0</v>
      </c>
      <c r="F46" s="46">
        <v>0</v>
      </c>
      <c r="G46" s="46">
        <v>0</v>
      </c>
      <c r="H46" s="33">
        <v>-300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Q46" s="33">
        <f t="shared" si="2"/>
        <v>-300</v>
      </c>
      <c r="R46" s="53">
        <f t="shared" si="4"/>
        <v>3.761519653940192E-3</v>
      </c>
      <c r="AE46" s="25" t="s">
        <v>97</v>
      </c>
      <c r="AF46" s="33">
        <v>-300</v>
      </c>
      <c r="AG46" s="55">
        <f t="shared" si="5"/>
        <v>3.761519653940192E-3</v>
      </c>
    </row>
    <row r="47" spans="2:37" thickBot="1" x14ac:dyDescent="0.6">
      <c r="B47" s="25">
        <v>20</v>
      </c>
      <c r="C47" s="25" t="s">
        <v>98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33">
        <v>-300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Q47" s="33">
        <f t="shared" si="2"/>
        <v>-300</v>
      </c>
      <c r="R47" s="53">
        <f t="shared" si="4"/>
        <v>3.761519653940192E-3</v>
      </c>
      <c r="AE47" s="25" t="s">
        <v>98</v>
      </c>
      <c r="AF47" s="33">
        <v>-300</v>
      </c>
      <c r="AG47" s="55">
        <f t="shared" si="5"/>
        <v>3.761519653940192E-3</v>
      </c>
      <c r="AI47" s="60" t="s">
        <v>150</v>
      </c>
      <c r="AJ47" s="54" t="s">
        <v>151</v>
      </c>
      <c r="AK47" s="24" t="s">
        <v>139</v>
      </c>
    </row>
    <row r="48" spans="2:37" x14ac:dyDescent="0.55000000000000004">
      <c r="B48" s="25">
        <v>21</v>
      </c>
      <c r="C48" s="25" t="s">
        <v>152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5">
        <v>-250</v>
      </c>
      <c r="M48" s="46">
        <v>0</v>
      </c>
      <c r="N48" s="46">
        <v>0</v>
      </c>
      <c r="O48" s="46">
        <v>0</v>
      </c>
      <c r="Q48" s="33">
        <f t="shared" si="2"/>
        <v>-250</v>
      </c>
      <c r="R48" s="53">
        <f t="shared" si="4"/>
        <v>3.1345997116168267E-3</v>
      </c>
      <c r="AE48" s="25" t="s">
        <v>152</v>
      </c>
      <c r="AF48" s="33">
        <v>-250</v>
      </c>
      <c r="AG48" s="55">
        <f t="shared" si="5"/>
        <v>3.1345997116168267E-3</v>
      </c>
      <c r="AI48" s="62" t="s">
        <v>89</v>
      </c>
      <c r="AJ48" s="58"/>
      <c r="AK48" s="56"/>
    </row>
    <row r="49" spans="2:37" x14ac:dyDescent="0.55000000000000004">
      <c r="B49" s="25">
        <v>22</v>
      </c>
      <c r="C49" s="25" t="s">
        <v>101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5">
        <v>-150</v>
      </c>
      <c r="M49" s="46">
        <v>0</v>
      </c>
      <c r="N49" s="46">
        <v>0</v>
      </c>
      <c r="O49" s="46">
        <v>0</v>
      </c>
      <c r="Q49" s="33">
        <f t="shared" si="2"/>
        <v>-150</v>
      </c>
      <c r="R49" s="53">
        <f t="shared" si="4"/>
        <v>1.880759826970096E-3</v>
      </c>
      <c r="AE49" s="25" t="s">
        <v>101</v>
      </c>
      <c r="AF49" s="33">
        <v>-150</v>
      </c>
      <c r="AG49" s="55">
        <f t="shared" si="5"/>
        <v>1.880759826970096E-3</v>
      </c>
      <c r="AI49" s="62" t="s">
        <v>147</v>
      </c>
      <c r="AJ49" s="58"/>
      <c r="AK49" s="56"/>
    </row>
    <row r="50" spans="2:37" x14ac:dyDescent="0.55000000000000004">
      <c r="B50" s="25">
        <v>23</v>
      </c>
      <c r="C50" s="25" t="s">
        <v>102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5">
        <v>-300</v>
      </c>
      <c r="N50" s="46">
        <v>0</v>
      </c>
      <c r="O50" s="46">
        <v>0</v>
      </c>
      <c r="Q50" s="33">
        <f t="shared" si="2"/>
        <v>-300</v>
      </c>
      <c r="R50" s="53">
        <f t="shared" si="4"/>
        <v>3.761519653940192E-3</v>
      </c>
      <c r="AE50" s="25" t="s">
        <v>102</v>
      </c>
      <c r="AF50" s="33">
        <v>-300</v>
      </c>
      <c r="AG50" s="55">
        <f t="shared" si="5"/>
        <v>3.761519653940192E-3</v>
      </c>
      <c r="AI50" s="62" t="s">
        <v>148</v>
      </c>
      <c r="AJ50" s="58"/>
      <c r="AK50" s="56"/>
    </row>
    <row r="51" spans="2:37" ht="21.4" thickBot="1" x14ac:dyDescent="0.6">
      <c r="B51" s="25">
        <v>24</v>
      </c>
      <c r="C51" s="25" t="s">
        <v>153</v>
      </c>
      <c r="D51" s="46">
        <v>0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5">
        <v>-200</v>
      </c>
      <c r="N51" s="46">
        <v>0</v>
      </c>
      <c r="O51" s="46">
        <v>0</v>
      </c>
      <c r="Q51" s="33">
        <f t="shared" si="2"/>
        <v>-200</v>
      </c>
      <c r="R51" s="53">
        <f t="shared" si="4"/>
        <v>2.507679769293461E-3</v>
      </c>
      <c r="AE51" s="25" t="s">
        <v>153</v>
      </c>
      <c r="AF51" s="33">
        <v>-200</v>
      </c>
      <c r="AG51" s="55">
        <f t="shared" si="5"/>
        <v>2.507679769293461E-3</v>
      </c>
      <c r="AI51" s="62" t="s">
        <v>100</v>
      </c>
      <c r="AJ51" s="58"/>
      <c r="AK51" s="56"/>
    </row>
    <row r="52" spans="2:37" ht="39" customHeight="1" thickBot="1" x14ac:dyDescent="0.5">
      <c r="B52" s="24"/>
      <c r="C52" s="24" t="s">
        <v>28</v>
      </c>
      <c r="D52" s="49">
        <f t="shared" ref="D52:O52" ca="1" si="6">SUM(D21:D53)</f>
        <v>-794885400</v>
      </c>
      <c r="E52" s="49">
        <f t="shared" ca="1" si="6"/>
        <v>-1015686900</v>
      </c>
      <c r="F52" s="49">
        <f t="shared" ca="1" si="6"/>
        <v>-965638560</v>
      </c>
      <c r="G52" s="49">
        <f t="shared" ca="1" si="6"/>
        <v>-1156999860</v>
      </c>
      <c r="H52" s="49">
        <f t="shared" ca="1" si="6"/>
        <v>-1030407000</v>
      </c>
      <c r="I52" s="49">
        <f t="shared" ca="1" si="6"/>
        <v>-1274760660</v>
      </c>
      <c r="J52" s="49">
        <f t="shared" ca="1" si="6"/>
        <v>-975206625</v>
      </c>
      <c r="K52" s="49">
        <f t="shared" ca="1" si="6"/>
        <v>-753669120</v>
      </c>
      <c r="L52" s="49">
        <f t="shared" ca="1" si="6"/>
        <v>-875845950</v>
      </c>
      <c r="M52" s="49">
        <f t="shared" ca="1" si="6"/>
        <v>-902342130</v>
      </c>
      <c r="N52" s="49">
        <f t="shared" ca="1" si="6"/>
        <v>-971526600</v>
      </c>
      <c r="O52" s="49">
        <f t="shared" ca="1" si="6"/>
        <v>-1023046950</v>
      </c>
      <c r="Q52" s="49">
        <f>SUM(Q21:Q51)</f>
        <v>-79755</v>
      </c>
      <c r="AE52" s="24" t="s">
        <v>12</v>
      </c>
      <c r="AF52" s="49">
        <f>SUM(AF20:AF51)</f>
        <v>-79755</v>
      </c>
      <c r="AG52">
        <f>SUM(AG20:AG51)</f>
        <v>1</v>
      </c>
      <c r="AI52" s="62" t="s">
        <v>149</v>
      </c>
      <c r="AJ52" s="58"/>
      <c r="AK52" s="56"/>
    </row>
    <row r="53" spans="2:37" x14ac:dyDescent="0.45">
      <c r="AI53" s="62" t="s">
        <v>90</v>
      </c>
      <c r="AJ53" s="58"/>
      <c r="AK53" s="56"/>
    </row>
    <row r="54" spans="2:37" ht="39.75" customHeight="1" x14ac:dyDescent="0.45">
      <c r="AI54" s="62" t="s">
        <v>148</v>
      </c>
      <c r="AJ54" s="58"/>
      <c r="AK54" s="56"/>
    </row>
    <row r="55" spans="2:37" ht="31.5" customHeight="1" x14ac:dyDescent="0.45">
      <c r="AI55" s="62" t="s">
        <v>94</v>
      </c>
      <c r="AJ55" s="58"/>
      <c r="AK55" s="56"/>
    </row>
    <row r="56" spans="2:37" hidden="1" x14ac:dyDescent="0.45">
      <c r="AI56" s="62" t="s">
        <v>97</v>
      </c>
      <c r="AJ56" s="58"/>
      <c r="AK56" s="56"/>
    </row>
    <row r="57" spans="2:37" ht="27.75" hidden="1" customHeight="1" x14ac:dyDescent="0.45">
      <c r="AI57" s="62" t="s">
        <v>98</v>
      </c>
      <c r="AJ57" s="58"/>
      <c r="AK57" s="56"/>
    </row>
    <row r="58" spans="2:37" ht="21.75" hidden="1" customHeight="1" x14ac:dyDescent="0.45">
      <c r="AI58" s="62" t="s">
        <v>152</v>
      </c>
      <c r="AJ58" s="58"/>
      <c r="AK58" s="56"/>
    </row>
    <row r="59" spans="2:37" hidden="1" x14ac:dyDescent="0.45">
      <c r="AI59" s="62" t="s">
        <v>101</v>
      </c>
      <c r="AJ59" s="58"/>
      <c r="AK59" s="56"/>
    </row>
    <row r="60" spans="2:37" ht="39" hidden="1" customHeight="1" x14ac:dyDescent="0.45">
      <c r="AI60" s="62" t="s">
        <v>102</v>
      </c>
      <c r="AJ60" s="58"/>
      <c r="AK60" s="56"/>
    </row>
    <row r="61" spans="2:37" ht="21.4" hidden="1" thickBot="1" x14ac:dyDescent="0.5">
      <c r="AI61" s="62" t="s">
        <v>153</v>
      </c>
      <c r="AJ61" s="58"/>
      <c r="AK61" s="56"/>
    </row>
    <row r="62" spans="2:37" hidden="1" thickBot="1" x14ac:dyDescent="0.5">
      <c r="AI62" s="60" t="s">
        <v>12</v>
      </c>
      <c r="AJ62" s="49">
        <f>SUM(AJ48:AJ61)</f>
        <v>0</v>
      </c>
      <c r="AK62" s="57">
        <f>SUM(AK48:AK61)</f>
        <v>0</v>
      </c>
    </row>
  </sheetData>
  <autoFilter ref="AI5:AK5" xr:uid="{CD5D53AE-EBA5-4C79-A75A-E5EA0D903C7D}">
    <sortState xmlns:xlrd2="http://schemas.microsoft.com/office/spreadsheetml/2017/richdata2" ref="AI6:AK36">
      <sortCondition ref="AJ5"/>
    </sortState>
  </autoFilter>
  <mergeCells count="4">
    <mergeCell ref="R3:R20"/>
    <mergeCell ref="Q3:Q20"/>
    <mergeCell ref="B3:C3"/>
    <mergeCell ref="B4:C4"/>
  </mergeCells>
  <pageMargins left="0.7" right="0.7" top="0.75" bottom="0.75" header="0.3" footer="0.3"/>
  <pageSetup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7"/>
  <sheetViews>
    <sheetView showGridLines="0" topLeftCell="A10" zoomScale="59" zoomScaleNormal="66" workbookViewId="0">
      <selection activeCell="J42" sqref="J42"/>
    </sheetView>
  </sheetViews>
  <sheetFormatPr defaultColWidth="0" defaultRowHeight="14.25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10" width="12.1328125" customWidth="1"/>
    <col min="11" max="11" width="15" customWidth="1"/>
    <col min="12" max="12" width="15.265625" customWidth="1"/>
    <col min="13" max="13" width="1.265625" customWidth="1"/>
    <col min="14" max="14" width="18.265625" customWidth="1"/>
    <col min="15" max="15" width="16" customWidth="1"/>
    <col min="16" max="17" width="9.1328125" customWidth="1"/>
    <col min="18" max="18" width="16.1328125" customWidth="1"/>
    <col min="19" max="19" width="29.86328125" customWidth="1"/>
    <col min="20" max="20" width="15.796875" customWidth="1"/>
    <col min="21" max="21" width="31.86328125" customWidth="1"/>
    <col min="22" max="22" width="19" customWidth="1"/>
    <col min="23" max="23" width="8" hidden="1" customWidth="1"/>
    <col min="24" max="24" width="44.3984375" hidden="1" customWidth="1"/>
    <col min="25" max="16384" width="9.1328125" hidden="1"/>
  </cols>
  <sheetData>
    <row r="1" spans="2:21" x14ac:dyDescent="0.45">
      <c r="B1">
        <v>-1</v>
      </c>
    </row>
    <row r="3" spans="2:21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R3" s="162" t="s">
        <v>25</v>
      </c>
      <c r="S3" s="163"/>
      <c r="T3" s="163"/>
      <c r="U3" s="163"/>
    </row>
    <row r="4" spans="2:21" ht="23.25" x14ac:dyDescent="0.7">
      <c r="C4" s="162" t="s">
        <v>198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R4" s="162" t="s">
        <v>199</v>
      </c>
      <c r="S4" s="163"/>
      <c r="T4" s="163"/>
      <c r="U4" s="163"/>
    </row>
    <row r="5" spans="2:21" ht="4.5" customHeight="1" thickBot="1" x14ac:dyDescent="0.5"/>
    <row r="6" spans="2:21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/>
      <c r="K6" s="29" t="s">
        <v>109</v>
      </c>
      <c r="L6" s="29" t="s">
        <v>110</v>
      </c>
      <c r="N6" s="29" t="s">
        <v>111</v>
      </c>
      <c r="O6" s="29" t="s">
        <v>112</v>
      </c>
      <c r="R6" s="23" t="s">
        <v>16</v>
      </c>
      <c r="S6" s="24" t="s">
        <v>81</v>
      </c>
      <c r="T6" s="24" t="s">
        <v>17</v>
      </c>
      <c r="U6" s="24" t="s">
        <v>113</v>
      </c>
    </row>
    <row r="7" spans="2:21" ht="18.75" thickTop="1" thickBot="1" x14ac:dyDescent="0.5">
      <c r="C7" s="88">
        <v>1</v>
      </c>
      <c r="D7" s="89" t="s">
        <v>29</v>
      </c>
      <c r="E7" s="90" t="s">
        <v>30</v>
      </c>
      <c r="F7" s="80">
        <v>-500</v>
      </c>
      <c r="G7" s="80"/>
      <c r="H7" s="91">
        <v>500</v>
      </c>
      <c r="I7" s="91"/>
      <c r="J7" s="91"/>
      <c r="K7" s="81">
        <v>0</v>
      </c>
      <c r="L7" s="81">
        <v>0</v>
      </c>
      <c r="M7" s="92"/>
      <c r="N7" s="148">
        <f t="shared" ref="N7:N32" si="0">F7+H7+K7</f>
        <v>0</v>
      </c>
      <c r="O7" s="148">
        <f t="shared" ref="O7:O32" si="1">G7+I7+L7</f>
        <v>0</v>
      </c>
      <c r="R7" s="25">
        <v>1</v>
      </c>
      <c r="S7" s="25" t="s">
        <v>82</v>
      </c>
      <c r="T7" s="33">
        <v>-3000</v>
      </c>
      <c r="U7" s="25" t="s">
        <v>114</v>
      </c>
    </row>
    <row r="8" spans="2:21" ht="18.75" thickTop="1" thickBot="1" x14ac:dyDescent="0.5">
      <c r="C8" s="93">
        <v>2</v>
      </c>
      <c r="D8" s="94" t="s">
        <v>194</v>
      </c>
      <c r="E8" s="95" t="s">
        <v>31</v>
      </c>
      <c r="F8" s="82">
        <v>-500</v>
      </c>
      <c r="G8" s="82"/>
      <c r="H8" s="83">
        <v>500</v>
      </c>
      <c r="I8" s="83"/>
      <c r="J8" s="83"/>
      <c r="K8" s="84">
        <v>0</v>
      </c>
      <c r="L8" s="84">
        <v>0</v>
      </c>
      <c r="M8" s="96"/>
      <c r="N8" s="148">
        <f t="shared" si="0"/>
        <v>0</v>
      </c>
      <c r="O8" s="148">
        <f t="shared" si="1"/>
        <v>0</v>
      </c>
      <c r="R8" s="25">
        <v>2</v>
      </c>
      <c r="S8" s="25" t="s">
        <v>115</v>
      </c>
      <c r="T8" s="33">
        <v>-2900</v>
      </c>
      <c r="U8" s="25"/>
    </row>
    <row r="9" spans="2:21" ht="18.75" thickTop="1" thickBot="1" x14ac:dyDescent="0.5">
      <c r="C9" s="93">
        <v>3</v>
      </c>
      <c r="D9" s="98" t="s">
        <v>32</v>
      </c>
      <c r="E9" s="99" t="s">
        <v>33</v>
      </c>
      <c r="F9" s="82">
        <v>-300</v>
      </c>
      <c r="G9" s="82"/>
      <c r="H9" s="83"/>
      <c r="I9" s="83"/>
      <c r="J9" s="83"/>
      <c r="K9" s="84">
        <v>-5400</v>
      </c>
      <c r="L9" s="84">
        <v>0</v>
      </c>
      <c r="M9" s="96"/>
      <c r="N9" s="148">
        <f t="shared" si="0"/>
        <v>-5700</v>
      </c>
      <c r="O9" s="148">
        <f t="shared" si="1"/>
        <v>0</v>
      </c>
      <c r="R9" s="25">
        <v>3</v>
      </c>
      <c r="S9" s="25" t="s">
        <v>84</v>
      </c>
      <c r="T9" s="33">
        <v>-2400</v>
      </c>
      <c r="U9" s="25" t="s">
        <v>114</v>
      </c>
    </row>
    <row r="10" spans="2:21" ht="18.75" thickTop="1" thickBot="1" x14ac:dyDescent="0.5">
      <c r="C10" s="93">
        <v>4</v>
      </c>
      <c r="D10" s="98" t="s">
        <v>34</v>
      </c>
      <c r="E10" s="99" t="s">
        <v>35</v>
      </c>
      <c r="F10" s="82">
        <v>-500</v>
      </c>
      <c r="G10" s="82"/>
      <c r="H10" s="83">
        <v>500</v>
      </c>
      <c r="I10" s="83"/>
      <c r="J10" s="83"/>
      <c r="K10" s="84">
        <v>0</v>
      </c>
      <c r="L10" s="84">
        <v>0</v>
      </c>
      <c r="M10" s="96"/>
      <c r="N10" s="148">
        <f t="shared" si="0"/>
        <v>0</v>
      </c>
      <c r="O10" s="148">
        <f t="shared" si="1"/>
        <v>0</v>
      </c>
      <c r="R10" s="25">
        <v>4</v>
      </c>
      <c r="S10" s="25" t="s">
        <v>85</v>
      </c>
      <c r="T10" s="33">
        <v>-125</v>
      </c>
      <c r="U10" s="25"/>
    </row>
    <row r="11" spans="2:21" ht="18.75" thickTop="1" thickBot="1" x14ac:dyDescent="0.5">
      <c r="C11" s="93">
        <v>5</v>
      </c>
      <c r="D11" s="98" t="s">
        <v>36</v>
      </c>
      <c r="E11" s="99" t="s">
        <v>37</v>
      </c>
      <c r="F11" s="82">
        <v>-500</v>
      </c>
      <c r="G11" s="82">
        <v>-100</v>
      </c>
      <c r="H11" s="83">
        <v>500</v>
      </c>
      <c r="I11" s="83">
        <v>100</v>
      </c>
      <c r="J11" s="83"/>
      <c r="K11" s="84">
        <v>0</v>
      </c>
      <c r="L11" s="84">
        <v>0</v>
      </c>
      <c r="M11" s="96"/>
      <c r="N11" s="148">
        <f t="shared" si="0"/>
        <v>0</v>
      </c>
      <c r="O11" s="148">
        <f t="shared" si="1"/>
        <v>0</v>
      </c>
      <c r="R11" s="25">
        <v>5</v>
      </c>
      <c r="S11" s="25" t="s">
        <v>86</v>
      </c>
      <c r="T11" s="33">
        <v>-400</v>
      </c>
      <c r="U11" s="25" t="s">
        <v>116</v>
      </c>
    </row>
    <row r="12" spans="2:21" ht="18.75" thickTop="1" thickBot="1" x14ac:dyDescent="0.5">
      <c r="C12" s="93">
        <v>6</v>
      </c>
      <c r="D12" s="98" t="s">
        <v>38</v>
      </c>
      <c r="E12" s="99" t="s">
        <v>39</v>
      </c>
      <c r="F12" s="82">
        <v>-500</v>
      </c>
      <c r="G12" s="82">
        <v>-100</v>
      </c>
      <c r="H12" s="83">
        <v>500</v>
      </c>
      <c r="I12" s="83">
        <v>100</v>
      </c>
      <c r="J12" s="83"/>
      <c r="K12" s="84">
        <v>0</v>
      </c>
      <c r="L12" s="84">
        <v>0</v>
      </c>
      <c r="M12" s="96"/>
      <c r="N12" s="148">
        <f t="shared" si="0"/>
        <v>0</v>
      </c>
      <c r="O12" s="148">
        <f t="shared" si="1"/>
        <v>0</v>
      </c>
      <c r="R12" s="25">
        <v>6</v>
      </c>
      <c r="S12" s="25" t="s">
        <v>88</v>
      </c>
      <c r="T12" s="33">
        <v>-500</v>
      </c>
      <c r="U12" s="25" t="s">
        <v>114</v>
      </c>
    </row>
    <row r="13" spans="2:21" ht="18.75" thickTop="1" thickBot="1" x14ac:dyDescent="0.5">
      <c r="C13" s="93">
        <v>7</v>
      </c>
      <c r="D13" s="98" t="s">
        <v>40</v>
      </c>
      <c r="E13" s="99" t="s">
        <v>41</v>
      </c>
      <c r="F13" s="82">
        <v>-300</v>
      </c>
      <c r="G13" s="82"/>
      <c r="H13" s="83"/>
      <c r="I13" s="83"/>
      <c r="J13" s="83"/>
      <c r="K13" s="84">
        <v>-2700</v>
      </c>
      <c r="L13" s="84">
        <v>0</v>
      </c>
      <c r="M13" s="96"/>
      <c r="N13" s="148">
        <f t="shared" si="0"/>
        <v>-3000</v>
      </c>
      <c r="O13" s="148">
        <f t="shared" si="1"/>
        <v>0</v>
      </c>
      <c r="R13" s="25">
        <v>7</v>
      </c>
      <c r="S13" s="25" t="s">
        <v>232</v>
      </c>
      <c r="T13" s="33">
        <v>-600</v>
      </c>
      <c r="U13" s="25" t="s">
        <v>114</v>
      </c>
    </row>
    <row r="14" spans="2:21" ht="18.75" thickTop="1" thickBot="1" x14ac:dyDescent="0.5">
      <c r="C14" s="100">
        <v>8</v>
      </c>
      <c r="D14" s="98" t="s">
        <v>42</v>
      </c>
      <c r="E14" s="98" t="s">
        <v>43</v>
      </c>
      <c r="F14" s="82">
        <v>-300</v>
      </c>
      <c r="G14" s="82"/>
      <c r="H14" s="83">
        <v>300</v>
      </c>
      <c r="I14" s="83"/>
      <c r="J14" s="83"/>
      <c r="K14" s="84">
        <v>0</v>
      </c>
      <c r="L14" s="84">
        <v>0</v>
      </c>
      <c r="M14" s="96"/>
      <c r="N14" s="148">
        <f t="shared" si="0"/>
        <v>0</v>
      </c>
      <c r="O14" s="148">
        <f t="shared" si="1"/>
        <v>0</v>
      </c>
      <c r="R14" s="25">
        <v>8</v>
      </c>
      <c r="S14" s="25"/>
      <c r="T14" s="33"/>
      <c r="U14" s="25" t="s">
        <v>116</v>
      </c>
    </row>
    <row r="15" spans="2:21" ht="18.75" thickTop="1" thickBot="1" x14ac:dyDescent="0.5">
      <c r="C15" s="100">
        <v>9</v>
      </c>
      <c r="D15" s="98" t="s">
        <v>44</v>
      </c>
      <c r="E15" s="98" t="s">
        <v>45</v>
      </c>
      <c r="F15" s="82">
        <v>-500</v>
      </c>
      <c r="G15" s="82"/>
      <c r="H15" s="83">
        <v>500</v>
      </c>
      <c r="I15" s="83"/>
      <c r="J15" s="83"/>
      <c r="K15" s="84">
        <v>0</v>
      </c>
      <c r="L15" s="84">
        <v>0</v>
      </c>
      <c r="M15" s="96"/>
      <c r="N15" s="148">
        <f t="shared" si="0"/>
        <v>0</v>
      </c>
      <c r="O15" s="148">
        <f t="shared" si="1"/>
        <v>0</v>
      </c>
      <c r="R15" s="25">
        <v>9</v>
      </c>
      <c r="S15" s="25"/>
      <c r="T15" s="33"/>
      <c r="U15" s="25"/>
    </row>
    <row r="16" spans="2:21" ht="18.75" thickTop="1" thickBot="1" x14ac:dyDescent="0.5">
      <c r="C16" s="100">
        <v>10</v>
      </c>
      <c r="D16" s="98" t="s">
        <v>46</v>
      </c>
      <c r="E16" s="98" t="s">
        <v>47</v>
      </c>
      <c r="F16" s="82">
        <v>-500</v>
      </c>
      <c r="G16" s="82">
        <v>-100</v>
      </c>
      <c r="H16" s="83"/>
      <c r="I16" s="83"/>
      <c r="J16" s="83"/>
      <c r="K16" s="84">
        <v>0</v>
      </c>
      <c r="L16" s="84">
        <v>0</v>
      </c>
      <c r="M16" s="96"/>
      <c r="N16" s="148">
        <f t="shared" si="0"/>
        <v>-500</v>
      </c>
      <c r="O16" s="148">
        <f t="shared" si="1"/>
        <v>-100</v>
      </c>
      <c r="R16" s="25">
        <v>10</v>
      </c>
      <c r="S16" s="25"/>
      <c r="T16" s="33"/>
      <c r="U16" s="25"/>
    </row>
    <row r="17" spans="3:21" ht="18.399999999999999" thickTop="1" thickBot="1" x14ac:dyDescent="0.5">
      <c r="C17" s="100">
        <v>11</v>
      </c>
      <c r="D17" s="98" t="s">
        <v>48</v>
      </c>
      <c r="E17" s="98" t="s">
        <v>49</v>
      </c>
      <c r="F17" s="82">
        <v>-500</v>
      </c>
      <c r="G17" s="82">
        <v>-100</v>
      </c>
      <c r="H17" s="83"/>
      <c r="I17" s="83"/>
      <c r="J17" s="83"/>
      <c r="K17" s="84">
        <v>-500</v>
      </c>
      <c r="L17" s="84">
        <v>-100</v>
      </c>
      <c r="M17" s="96"/>
      <c r="N17" s="148">
        <f t="shared" si="0"/>
        <v>-1000</v>
      </c>
      <c r="O17" s="148">
        <f t="shared" si="1"/>
        <v>-200</v>
      </c>
      <c r="R17" s="24"/>
      <c r="S17" s="24" t="s">
        <v>28</v>
      </c>
      <c r="T17" s="35">
        <f>SUM(T7:T16)</f>
        <v>-9925</v>
      </c>
      <c r="U17" s="24"/>
    </row>
    <row r="18" spans="3:21" ht="18" thickTop="1" thickBot="1" x14ac:dyDescent="0.5">
      <c r="C18" s="100">
        <v>12</v>
      </c>
      <c r="D18" s="98" t="s">
        <v>50</v>
      </c>
      <c r="E18" s="98" t="s">
        <v>51</v>
      </c>
      <c r="F18" s="82">
        <v>-500</v>
      </c>
      <c r="G18" s="82">
        <v>-100</v>
      </c>
      <c r="H18" s="83">
        <v>500</v>
      </c>
      <c r="I18" s="83">
        <v>100</v>
      </c>
      <c r="J18" s="83"/>
      <c r="K18" s="84">
        <v>0</v>
      </c>
      <c r="L18" s="84">
        <v>0</v>
      </c>
      <c r="M18" s="96"/>
      <c r="N18" s="148">
        <f t="shared" si="0"/>
        <v>0</v>
      </c>
      <c r="O18" s="148">
        <f t="shared" si="1"/>
        <v>0</v>
      </c>
    </row>
    <row r="19" spans="3:21" ht="18" thickTop="1" thickBot="1" x14ac:dyDescent="0.5">
      <c r="C19" s="100">
        <v>13</v>
      </c>
      <c r="D19" s="98" t="s">
        <v>52</v>
      </c>
      <c r="E19" s="98" t="s">
        <v>53</v>
      </c>
      <c r="F19" s="82">
        <v>-300</v>
      </c>
      <c r="G19" s="82">
        <v>-100</v>
      </c>
      <c r="H19" s="83">
        <v>3000</v>
      </c>
      <c r="I19" s="83">
        <v>1000</v>
      </c>
      <c r="J19" s="83"/>
      <c r="K19" s="84">
        <v>0</v>
      </c>
      <c r="L19" s="84">
        <v>0</v>
      </c>
      <c r="M19" s="96"/>
      <c r="N19" s="149">
        <f t="shared" si="0"/>
        <v>2700</v>
      </c>
      <c r="O19" s="149">
        <f t="shared" si="1"/>
        <v>900</v>
      </c>
    </row>
    <row r="20" spans="3:21" ht="18" thickTop="1" thickBot="1" x14ac:dyDescent="0.5">
      <c r="C20" s="100">
        <v>14</v>
      </c>
      <c r="D20" s="98" t="s">
        <v>169</v>
      </c>
      <c r="E20" s="98" t="s">
        <v>55</v>
      </c>
      <c r="F20" s="82">
        <v>-300</v>
      </c>
      <c r="G20" s="82">
        <v>-100</v>
      </c>
      <c r="H20" s="83">
        <v>300</v>
      </c>
      <c r="I20" s="83">
        <v>100</v>
      </c>
      <c r="J20" s="83"/>
      <c r="K20" s="84">
        <v>0</v>
      </c>
      <c r="L20" s="84">
        <v>0</v>
      </c>
      <c r="M20" s="96"/>
      <c r="N20" s="148">
        <f t="shared" si="0"/>
        <v>0</v>
      </c>
      <c r="O20" s="148">
        <f t="shared" si="1"/>
        <v>0</v>
      </c>
    </row>
    <row r="21" spans="3:21" ht="24" thickTop="1" thickBot="1" x14ac:dyDescent="0.75">
      <c r="C21" s="100">
        <v>15</v>
      </c>
      <c r="D21" s="98" t="s">
        <v>56</v>
      </c>
      <c r="E21" s="98" t="s">
        <v>57</v>
      </c>
      <c r="F21" s="82">
        <v>-500</v>
      </c>
      <c r="G21" s="82">
        <v>-100</v>
      </c>
      <c r="H21" s="83"/>
      <c r="I21" s="83"/>
      <c r="J21" s="83"/>
      <c r="K21" s="84">
        <v>0</v>
      </c>
      <c r="L21" s="84">
        <v>-1500</v>
      </c>
      <c r="M21" s="96"/>
      <c r="N21" s="148">
        <f t="shared" si="0"/>
        <v>-500</v>
      </c>
      <c r="O21" s="148">
        <f t="shared" si="1"/>
        <v>-1600</v>
      </c>
      <c r="R21" s="162" t="s">
        <v>117</v>
      </c>
      <c r="S21" s="163"/>
      <c r="T21" s="163"/>
    </row>
    <row r="22" spans="3:21" ht="25.5" customHeight="1" thickTop="1" thickBot="1" x14ac:dyDescent="0.5">
      <c r="C22" s="100">
        <v>16</v>
      </c>
      <c r="D22" s="98" t="s">
        <v>58</v>
      </c>
      <c r="E22" s="98" t="s">
        <v>59</v>
      </c>
      <c r="F22" s="82">
        <v>-500</v>
      </c>
      <c r="G22" s="82">
        <v>-100</v>
      </c>
      <c r="H22" s="83"/>
      <c r="I22" s="83"/>
      <c r="J22" s="83"/>
      <c r="K22" s="84">
        <v>0</v>
      </c>
      <c r="L22" s="84">
        <v>0</v>
      </c>
      <c r="M22" s="96"/>
      <c r="N22" s="148">
        <f t="shared" si="0"/>
        <v>-500</v>
      </c>
      <c r="O22" s="148">
        <f t="shared" si="1"/>
        <v>-100</v>
      </c>
    </row>
    <row r="23" spans="3:21" ht="18.399999999999999" thickTop="1" thickBot="1" x14ac:dyDescent="0.5">
      <c r="C23" s="100">
        <v>17</v>
      </c>
      <c r="D23" s="98" t="s">
        <v>60</v>
      </c>
      <c r="E23" s="98" t="s">
        <v>61</v>
      </c>
      <c r="F23" s="82">
        <v>-500</v>
      </c>
      <c r="G23" s="82">
        <v>-100</v>
      </c>
      <c r="H23" s="83">
        <v>500</v>
      </c>
      <c r="I23" s="83">
        <v>100</v>
      </c>
      <c r="J23" s="83"/>
      <c r="K23" s="84">
        <v>0</v>
      </c>
      <c r="L23" s="84">
        <v>0</v>
      </c>
      <c r="M23" s="96"/>
      <c r="N23" s="148">
        <f t="shared" si="0"/>
        <v>0</v>
      </c>
      <c r="O23" s="148">
        <f t="shared" si="1"/>
        <v>0</v>
      </c>
      <c r="R23" s="24" t="s">
        <v>17</v>
      </c>
      <c r="S23" s="24"/>
      <c r="T23" s="23" t="s">
        <v>16</v>
      </c>
    </row>
    <row r="24" spans="3:21" ht="18.75" thickTop="1" thickBot="1" x14ac:dyDescent="0.5">
      <c r="C24" s="100">
        <v>18</v>
      </c>
      <c r="D24" s="98" t="s">
        <v>181</v>
      </c>
      <c r="E24" s="98" t="s">
        <v>63</v>
      </c>
      <c r="F24" s="82">
        <v>-300</v>
      </c>
      <c r="G24" s="82"/>
      <c r="H24" s="83"/>
      <c r="I24" s="83"/>
      <c r="J24" s="83"/>
      <c r="K24" s="84">
        <v>0</v>
      </c>
      <c r="L24" s="84">
        <v>0</v>
      </c>
      <c r="M24" s="96"/>
      <c r="N24" s="148">
        <f t="shared" si="0"/>
        <v>-300</v>
      </c>
      <c r="O24" s="148">
        <f t="shared" si="1"/>
        <v>0</v>
      </c>
      <c r="R24" s="32">
        <v>45771</v>
      </c>
      <c r="S24" s="25" t="s">
        <v>19</v>
      </c>
      <c r="T24" s="25">
        <v>1</v>
      </c>
    </row>
    <row r="25" spans="3:21" ht="18.75" thickTop="1" thickBot="1" x14ac:dyDescent="0.5">
      <c r="C25" s="100">
        <v>19</v>
      </c>
      <c r="D25" s="98" t="s">
        <v>64</v>
      </c>
      <c r="E25" s="98" t="s">
        <v>65</v>
      </c>
      <c r="F25" s="82">
        <v>-500</v>
      </c>
      <c r="G25" s="82">
        <v>-100</v>
      </c>
      <c r="H25" s="83">
        <v>500</v>
      </c>
      <c r="I25" s="83">
        <v>100</v>
      </c>
      <c r="J25" s="83"/>
      <c r="K25" s="84">
        <v>0</v>
      </c>
      <c r="L25" s="84">
        <v>0</v>
      </c>
      <c r="M25" s="96"/>
      <c r="N25" s="148">
        <f t="shared" si="0"/>
        <v>0</v>
      </c>
      <c r="O25" s="148">
        <f t="shared" si="1"/>
        <v>0</v>
      </c>
      <c r="R25" s="32">
        <f>H33</f>
        <v>15500</v>
      </c>
      <c r="S25" s="25" t="s">
        <v>202</v>
      </c>
      <c r="T25" s="25">
        <v>2</v>
      </c>
    </row>
    <row r="26" spans="3:21" ht="18.75" thickTop="1" thickBot="1" x14ac:dyDescent="0.5">
      <c r="C26" s="100">
        <v>20</v>
      </c>
      <c r="D26" s="98" t="s">
        <v>130</v>
      </c>
      <c r="E26" s="98" t="s">
        <v>67</v>
      </c>
      <c r="F26" s="82">
        <v>-300</v>
      </c>
      <c r="G26" s="82">
        <v>-100</v>
      </c>
      <c r="H26" s="83">
        <v>500</v>
      </c>
      <c r="I26" s="83">
        <v>100</v>
      </c>
      <c r="J26" s="83"/>
      <c r="K26" s="84">
        <v>-300</v>
      </c>
      <c r="L26" s="84">
        <v>-400</v>
      </c>
      <c r="M26" s="96"/>
      <c r="N26" s="148">
        <f t="shared" si="0"/>
        <v>-100</v>
      </c>
      <c r="O26" s="148">
        <f t="shared" si="1"/>
        <v>-400</v>
      </c>
      <c r="R26" s="33">
        <f>T17</f>
        <v>-9925</v>
      </c>
      <c r="S26" s="25" t="s">
        <v>203</v>
      </c>
      <c r="T26" s="25">
        <v>3</v>
      </c>
    </row>
    <row r="27" spans="3:21" ht="23.25" thickTop="1" thickBot="1" x14ac:dyDescent="0.5">
      <c r="C27" s="100">
        <v>21</v>
      </c>
      <c r="D27" s="98" t="s">
        <v>68</v>
      </c>
      <c r="E27" s="98" t="s">
        <v>69</v>
      </c>
      <c r="F27" s="82">
        <v>-500</v>
      </c>
      <c r="G27" s="82">
        <v>-100</v>
      </c>
      <c r="H27" s="83">
        <v>500</v>
      </c>
      <c r="I27" s="83">
        <v>100</v>
      </c>
      <c r="J27" s="83"/>
      <c r="K27" s="84">
        <v>0</v>
      </c>
      <c r="L27" s="84">
        <v>0</v>
      </c>
      <c r="M27" s="96"/>
      <c r="N27" s="148">
        <f t="shared" si="0"/>
        <v>0</v>
      </c>
      <c r="O27" s="148">
        <f t="shared" si="1"/>
        <v>0</v>
      </c>
      <c r="R27" s="71">
        <f>SUM(R24:R26)</f>
        <v>51346</v>
      </c>
      <c r="S27" s="24"/>
      <c r="T27" s="24" t="s">
        <v>28</v>
      </c>
    </row>
    <row r="28" spans="3:21" ht="18" thickTop="1" thickBot="1" x14ac:dyDescent="0.5">
      <c r="C28" s="100">
        <v>22</v>
      </c>
      <c r="D28" s="98" t="s">
        <v>70</v>
      </c>
      <c r="E28" s="98" t="s">
        <v>71</v>
      </c>
      <c r="F28" s="82">
        <v>-500</v>
      </c>
      <c r="G28" s="82">
        <v>-100</v>
      </c>
      <c r="H28" s="83">
        <v>500</v>
      </c>
      <c r="I28" s="83">
        <v>100</v>
      </c>
      <c r="J28" s="83"/>
      <c r="K28" s="84">
        <v>0</v>
      </c>
      <c r="L28" s="84">
        <v>0</v>
      </c>
      <c r="M28" s="96"/>
      <c r="N28" s="148">
        <f t="shared" si="0"/>
        <v>0</v>
      </c>
      <c r="O28" s="148">
        <f t="shared" si="1"/>
        <v>0</v>
      </c>
    </row>
    <row r="29" spans="3:21" ht="18.399999999999999" thickTop="1" thickBot="1" x14ac:dyDescent="0.5">
      <c r="C29" s="100">
        <v>23</v>
      </c>
      <c r="D29" s="98" t="s">
        <v>72</v>
      </c>
      <c r="E29" s="98" t="s">
        <v>73</v>
      </c>
      <c r="F29" s="82">
        <v>-500</v>
      </c>
      <c r="G29" s="82">
        <v>-100</v>
      </c>
      <c r="H29" s="83">
        <v>4900</v>
      </c>
      <c r="I29" s="83">
        <v>700</v>
      </c>
      <c r="J29" s="83"/>
      <c r="K29" s="84">
        <v>-4400</v>
      </c>
      <c r="L29" s="84">
        <v>-600</v>
      </c>
      <c r="M29" s="96"/>
      <c r="N29" s="148">
        <f t="shared" si="0"/>
        <v>0</v>
      </c>
      <c r="O29" s="148">
        <f t="shared" si="1"/>
        <v>0</v>
      </c>
      <c r="R29" s="24" t="s">
        <v>17</v>
      </c>
      <c r="S29" s="24" t="s">
        <v>118</v>
      </c>
      <c r="T29" s="23" t="s">
        <v>16</v>
      </c>
    </row>
    <row r="30" spans="3:21" ht="18.75" thickTop="1" thickBot="1" x14ac:dyDescent="0.5">
      <c r="C30" s="100">
        <v>24</v>
      </c>
      <c r="D30" s="98" t="s">
        <v>74</v>
      </c>
      <c r="E30" s="98" t="s">
        <v>75</v>
      </c>
      <c r="F30" s="82">
        <v>-500</v>
      </c>
      <c r="G30" s="82">
        <v>-100</v>
      </c>
      <c r="H30" s="83">
        <v>500</v>
      </c>
      <c r="I30" s="83">
        <v>100</v>
      </c>
      <c r="J30" s="83"/>
      <c r="K30" s="84">
        <v>0</v>
      </c>
      <c r="L30" s="84">
        <v>0</v>
      </c>
      <c r="M30" s="96"/>
      <c r="N30" s="148">
        <f t="shared" si="0"/>
        <v>0</v>
      </c>
      <c r="O30" s="148">
        <f t="shared" si="1"/>
        <v>0</v>
      </c>
      <c r="R30" s="32">
        <v>35180</v>
      </c>
      <c r="S30" s="25" t="s">
        <v>19</v>
      </c>
      <c r="T30" s="25">
        <v>1</v>
      </c>
    </row>
    <row r="31" spans="3:21" ht="18.75" thickTop="1" thickBot="1" x14ac:dyDescent="0.5">
      <c r="C31" s="93">
        <v>25</v>
      </c>
      <c r="D31" s="98" t="s">
        <v>76</v>
      </c>
      <c r="E31" s="101" t="s">
        <v>77</v>
      </c>
      <c r="F31" s="82">
        <v>-500</v>
      </c>
      <c r="G31" s="82">
        <v>-100</v>
      </c>
      <c r="H31" s="83">
        <v>500</v>
      </c>
      <c r="I31" s="83">
        <v>100</v>
      </c>
      <c r="J31" s="83"/>
      <c r="K31" s="84">
        <v>0</v>
      </c>
      <c r="L31" s="84">
        <v>0</v>
      </c>
      <c r="M31" s="96"/>
      <c r="N31" s="148">
        <f t="shared" si="0"/>
        <v>0</v>
      </c>
      <c r="O31" s="148">
        <f t="shared" si="1"/>
        <v>0</v>
      </c>
      <c r="R31" s="32">
        <f>I33</f>
        <v>2800</v>
      </c>
      <c r="S31" s="25" t="s">
        <v>119</v>
      </c>
      <c r="T31" s="25">
        <v>2</v>
      </c>
    </row>
    <row r="32" spans="3:21" ht="18.75" thickTop="1" thickBot="1" x14ac:dyDescent="0.5">
      <c r="C32" s="102">
        <v>26</v>
      </c>
      <c r="D32" s="103" t="s">
        <v>78</v>
      </c>
      <c r="E32" s="104" t="s">
        <v>79</v>
      </c>
      <c r="F32" s="85">
        <v>-300</v>
      </c>
      <c r="G32" s="85">
        <v>-100</v>
      </c>
      <c r="H32" s="86"/>
      <c r="I32" s="86"/>
      <c r="J32" s="86"/>
      <c r="K32" s="87">
        <v>0</v>
      </c>
      <c r="L32" s="87">
        <v>0</v>
      </c>
      <c r="M32" s="105"/>
      <c r="N32" s="148">
        <f t="shared" si="0"/>
        <v>-300</v>
      </c>
      <c r="O32" s="148">
        <f t="shared" si="1"/>
        <v>-100</v>
      </c>
      <c r="R32" s="33">
        <f>-500-200</f>
        <v>-700</v>
      </c>
      <c r="S32" s="25" t="s">
        <v>120</v>
      </c>
      <c r="T32" s="25">
        <v>3</v>
      </c>
    </row>
    <row r="33" spans="3:20" ht="24" thickTop="1" thickBot="1" x14ac:dyDescent="0.5">
      <c r="C33" s="157" t="s">
        <v>80</v>
      </c>
      <c r="D33" s="158"/>
      <c r="E33" s="159"/>
      <c r="F33" s="30">
        <f>SUM(F7:F32)</f>
        <v>-11400</v>
      </c>
      <c r="G33" s="30">
        <f t="shared" ref="G33:L33" si="2">SUM(G7:G32)</f>
        <v>-1800</v>
      </c>
      <c r="H33" s="30">
        <f>SUM(H7:H32)</f>
        <v>15500</v>
      </c>
      <c r="I33" s="30">
        <f t="shared" si="2"/>
        <v>2800</v>
      </c>
      <c r="J33" s="30"/>
      <c r="K33" s="30">
        <f t="shared" si="2"/>
        <v>-13300</v>
      </c>
      <c r="L33" s="30">
        <f t="shared" si="2"/>
        <v>-2600</v>
      </c>
      <c r="N33" s="30">
        <f>SUM(N7:N32)</f>
        <v>-9200</v>
      </c>
      <c r="O33" s="30">
        <f>SUM(O7:O32)</f>
        <v>-1600</v>
      </c>
      <c r="R33" s="147">
        <f>SUM(R30:R32)</f>
        <v>37280</v>
      </c>
      <c r="S33" s="24" t="s">
        <v>28</v>
      </c>
      <c r="T33" s="24"/>
    </row>
    <row r="34" spans="3:20" ht="14.65" thickBot="1" x14ac:dyDescent="0.5"/>
    <row r="35" spans="3:20" ht="18" thickBot="1" x14ac:dyDescent="0.5">
      <c r="H35" s="31">
        <f>H33-'Annual income (maintenenace)'!F33</f>
        <v>0</v>
      </c>
      <c r="L35">
        <f>3600/600</f>
        <v>6</v>
      </c>
      <c r="R35" s="172" t="s">
        <v>121</v>
      </c>
      <c r="S35" s="173"/>
      <c r="T35" s="74">
        <f>R33+R27</f>
        <v>88626</v>
      </c>
    </row>
    <row r="36" spans="3:20" x14ac:dyDescent="0.45">
      <c r="H36" s="31">
        <f>H33-'Annual income (maintenenace)'!H35</f>
        <v>15500</v>
      </c>
      <c r="L36">
        <f>600*11</f>
        <v>6600</v>
      </c>
    </row>
    <row r="37" spans="3:20" x14ac:dyDescent="0.45">
      <c r="H37">
        <f>5500+800</f>
        <v>6300</v>
      </c>
      <c r="I37" s="31">
        <f>-H36</f>
        <v>-15500</v>
      </c>
    </row>
    <row r="38" spans="3:20" ht="10.9" customHeight="1" x14ac:dyDescent="0.45">
      <c r="H38">
        <v>-3000</v>
      </c>
    </row>
    <row r="39" spans="3:20" ht="14.65" customHeight="1" x14ac:dyDescent="0.45">
      <c r="K39" s="31">
        <f>K33+F33+H33</f>
        <v>-9200</v>
      </c>
      <c r="L39" s="31">
        <f>L33+G33+I33</f>
        <v>-1600</v>
      </c>
    </row>
    <row r="40" spans="3:20" ht="14.65" thickBot="1" x14ac:dyDescent="0.5">
      <c r="H40">
        <v>800</v>
      </c>
      <c r="K40" s="31">
        <f>N33-K33</f>
        <v>4100</v>
      </c>
      <c r="L40" s="31">
        <f>O33-L33</f>
        <v>1000</v>
      </c>
    </row>
    <row r="41" spans="3:20" ht="22.9" thickBot="1" x14ac:dyDescent="0.5">
      <c r="S41" s="69" t="s">
        <v>184</v>
      </c>
      <c r="T41" s="69" t="s">
        <v>17</v>
      </c>
    </row>
    <row r="42" spans="3:20" ht="18" x14ac:dyDescent="0.45">
      <c r="Q42" s="31"/>
      <c r="S42" s="25" t="s">
        <v>132</v>
      </c>
      <c r="T42" s="126">
        <f>62978+500+600+600+4000+500+600+400+300+600+5600+600+600+500+600</f>
        <v>78978</v>
      </c>
    </row>
    <row r="43" spans="3:20" ht="18" x14ac:dyDescent="0.45">
      <c r="Q43" s="31">
        <f>T45-H33-I33</f>
        <v>70326</v>
      </c>
      <c r="S43" s="25" t="s">
        <v>133</v>
      </c>
      <c r="T43" s="126">
        <f>17973+500+600+600+600+R26+R32</f>
        <v>9648</v>
      </c>
    </row>
    <row r="44" spans="3:20" ht="14.65" thickBot="1" x14ac:dyDescent="0.5"/>
    <row r="45" spans="3:20" ht="22.9" thickBot="1" x14ac:dyDescent="0.5">
      <c r="S45" s="68" t="s">
        <v>28</v>
      </c>
      <c r="T45" s="127">
        <f>SUM(T42:T44)</f>
        <v>88626</v>
      </c>
    </row>
    <row r="46" spans="3:20" ht="14.65" thickBot="1" x14ac:dyDescent="0.5">
      <c r="T46" s="64"/>
    </row>
    <row r="47" spans="3:20" ht="22.9" thickBot="1" x14ac:dyDescent="0.5">
      <c r="S47" s="68" t="s">
        <v>134</v>
      </c>
      <c r="T47" s="119">
        <f>T45-T35</f>
        <v>0</v>
      </c>
    </row>
  </sheetData>
  <mergeCells count="7">
    <mergeCell ref="R35:S35"/>
    <mergeCell ref="C4:O4"/>
    <mergeCell ref="C3:O3"/>
    <mergeCell ref="R3:U3"/>
    <mergeCell ref="R4:U4"/>
    <mergeCell ref="C33:E33"/>
    <mergeCell ref="R21:T21"/>
  </mergeCells>
  <pageMargins left="0.7" right="0.7" top="0.75" bottom="0.75" header="0.3" footer="0.3"/>
  <pageSetup scale="4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253E-9CC9-4A6D-BBCD-0DCF892700F9}">
  <sheetPr>
    <pageSetUpPr fitToPage="1"/>
  </sheetPr>
  <dimension ref="A1:W48"/>
  <sheetViews>
    <sheetView showGridLines="0" topLeftCell="B14" zoomScale="63" zoomScaleNormal="100" workbookViewId="0">
      <selection activeCell="J42" sqref="J4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10" width="12.1328125" customWidth="1"/>
    <col min="11" max="11" width="15" customWidth="1"/>
    <col min="12" max="12" width="15.265625" customWidth="1"/>
    <col min="13" max="13" width="1.265625" customWidth="1"/>
    <col min="14" max="14" width="18.265625" customWidth="1"/>
    <col min="15" max="15" width="16" customWidth="1"/>
    <col min="16" max="17" width="9.1328125" customWidth="1"/>
    <col min="18" max="18" width="29.33203125" bestFit="1" customWidth="1"/>
    <col min="19" max="19" width="31.9296875" customWidth="1"/>
    <col min="20" max="20" width="12.3984375" bestFit="1" customWidth="1"/>
    <col min="21" max="21" width="31.86328125" customWidth="1"/>
    <col min="22" max="22" width="19" hidden="1" customWidth="1"/>
    <col min="23" max="23" width="8" hidden="1" customWidth="1"/>
    <col min="24" max="16384" width="9.1328125" hidden="1"/>
  </cols>
  <sheetData>
    <row r="1" spans="2:21" x14ac:dyDescent="0.45">
      <c r="B1">
        <v>-1</v>
      </c>
    </row>
    <row r="2" spans="2:21" x14ac:dyDescent="0.45"/>
    <row r="3" spans="2:21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R3" s="162" t="s">
        <v>25</v>
      </c>
      <c r="S3" s="163"/>
      <c r="T3" s="163"/>
      <c r="U3" s="163"/>
    </row>
    <row r="4" spans="2:21" ht="23.25" x14ac:dyDescent="0.7">
      <c r="C4" s="162" t="s">
        <v>204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R4" s="162" t="s">
        <v>205</v>
      </c>
      <c r="S4" s="163"/>
      <c r="T4" s="163"/>
      <c r="U4" s="163"/>
    </row>
    <row r="5" spans="2:21" ht="4.5" customHeight="1" thickBot="1" x14ac:dyDescent="0.5"/>
    <row r="6" spans="2:21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/>
      <c r="K6" s="29" t="s">
        <v>109</v>
      </c>
      <c r="L6" s="29" t="s">
        <v>110</v>
      </c>
      <c r="N6" s="29" t="s">
        <v>111</v>
      </c>
      <c r="O6" s="29" t="s">
        <v>112</v>
      </c>
      <c r="R6" s="23" t="s">
        <v>16</v>
      </c>
      <c r="S6" s="24" t="s">
        <v>81</v>
      </c>
      <c r="T6" s="24" t="s">
        <v>17</v>
      </c>
      <c r="U6" s="24" t="s">
        <v>113</v>
      </c>
    </row>
    <row r="7" spans="2:21" ht="18.75" thickTop="1" thickBot="1" x14ac:dyDescent="0.5">
      <c r="C7" s="88">
        <v>1</v>
      </c>
      <c r="D7" s="89" t="s">
        <v>29</v>
      </c>
      <c r="E7" s="90" t="s">
        <v>30</v>
      </c>
      <c r="F7" s="80">
        <v>-500</v>
      </c>
      <c r="G7" s="80"/>
      <c r="H7" s="91"/>
      <c r="I7" s="91"/>
      <c r="J7" s="91"/>
      <c r="K7" s="81">
        <v>0</v>
      </c>
      <c r="L7" s="81">
        <v>0</v>
      </c>
      <c r="M7" s="92"/>
      <c r="N7" s="148">
        <f>F7+H7+K7</f>
        <v>-500</v>
      </c>
      <c r="O7" s="148">
        <f>G7+I7+L7</f>
        <v>0</v>
      </c>
      <c r="P7" s="63">
        <f>January!N7</f>
        <v>0</v>
      </c>
      <c r="R7" s="25">
        <v>1</v>
      </c>
      <c r="S7" s="25" t="s">
        <v>82</v>
      </c>
      <c r="T7" s="33">
        <v>-3000</v>
      </c>
      <c r="U7" s="25" t="s">
        <v>114</v>
      </c>
    </row>
    <row r="8" spans="2:21" ht="18.75" thickTop="1" thickBot="1" x14ac:dyDescent="0.5">
      <c r="C8" s="93">
        <v>2</v>
      </c>
      <c r="D8" s="94" t="s">
        <v>194</v>
      </c>
      <c r="E8" s="95" t="s">
        <v>31</v>
      </c>
      <c r="F8" s="82">
        <v>-500</v>
      </c>
      <c r="G8" s="82"/>
      <c r="H8" s="153">
        <v>500</v>
      </c>
      <c r="I8" s="83"/>
      <c r="J8" s="83"/>
      <c r="K8" s="84">
        <v>0</v>
      </c>
      <c r="L8" s="84">
        <v>0</v>
      </c>
      <c r="M8" s="96"/>
      <c r="N8" s="148">
        <f t="shared" ref="N8:N31" si="0">F8+H8+K8</f>
        <v>0</v>
      </c>
      <c r="O8" s="150">
        <f t="shared" ref="O8:O32" si="1">G8+I8+L8</f>
        <v>0</v>
      </c>
      <c r="P8" s="63">
        <f>January!N8</f>
        <v>0</v>
      </c>
      <c r="R8" s="25">
        <v>2</v>
      </c>
      <c r="S8" s="25" t="s">
        <v>235</v>
      </c>
      <c r="T8" s="33">
        <v>-3255</v>
      </c>
      <c r="U8" s="25"/>
    </row>
    <row r="9" spans="2:21" ht="18.75" thickTop="1" thickBot="1" x14ac:dyDescent="0.5">
      <c r="C9" s="93">
        <v>3</v>
      </c>
      <c r="D9" s="98" t="s">
        <v>32</v>
      </c>
      <c r="E9" s="99" t="s">
        <v>33</v>
      </c>
      <c r="F9" s="82">
        <v>-300</v>
      </c>
      <c r="G9" s="82"/>
      <c r="H9" s="83"/>
      <c r="I9" s="83"/>
      <c r="J9" s="83"/>
      <c r="K9" s="84">
        <v>-5700</v>
      </c>
      <c r="L9" s="84">
        <v>0</v>
      </c>
      <c r="M9" s="96"/>
      <c r="N9" s="148">
        <f t="shared" si="0"/>
        <v>-6000</v>
      </c>
      <c r="O9" s="148">
        <f t="shared" si="1"/>
        <v>0</v>
      </c>
      <c r="P9" s="63">
        <f>January!N9</f>
        <v>-5700</v>
      </c>
      <c r="R9" s="25">
        <v>3</v>
      </c>
      <c r="S9" s="25" t="s">
        <v>84</v>
      </c>
      <c r="T9" s="33">
        <v>-3000</v>
      </c>
      <c r="U9" s="25" t="s">
        <v>114</v>
      </c>
    </row>
    <row r="10" spans="2:21" ht="18.75" thickTop="1" thickBot="1" x14ac:dyDescent="0.5">
      <c r="C10" s="93">
        <v>4</v>
      </c>
      <c r="D10" s="98" t="s">
        <v>34</v>
      </c>
      <c r="E10" s="99" t="s">
        <v>35</v>
      </c>
      <c r="F10" s="82">
        <v>-500</v>
      </c>
      <c r="G10" s="82"/>
      <c r="H10" s="153">
        <v>500</v>
      </c>
      <c r="I10" s="83"/>
      <c r="J10" s="83"/>
      <c r="K10" s="84">
        <v>0</v>
      </c>
      <c r="L10" s="84">
        <v>0</v>
      </c>
      <c r="M10" s="96"/>
      <c r="N10" s="148">
        <f t="shared" si="0"/>
        <v>0</v>
      </c>
      <c r="O10" s="148">
        <f t="shared" si="1"/>
        <v>0</v>
      </c>
      <c r="P10" s="63">
        <f>January!N10</f>
        <v>0</v>
      </c>
      <c r="R10" s="25">
        <v>4</v>
      </c>
      <c r="S10" s="25" t="s">
        <v>85</v>
      </c>
      <c r="T10" s="33">
        <v>-250</v>
      </c>
      <c r="U10" s="25"/>
    </row>
    <row r="11" spans="2:21" ht="18.75" thickTop="1" thickBot="1" x14ac:dyDescent="0.5">
      <c r="C11" s="93">
        <v>5</v>
      </c>
      <c r="D11" s="98" t="s">
        <v>36</v>
      </c>
      <c r="E11" s="99" t="s">
        <v>37</v>
      </c>
      <c r="F11" s="82">
        <v>-500</v>
      </c>
      <c r="G11" s="82">
        <v>-100</v>
      </c>
      <c r="H11" s="83">
        <v>500</v>
      </c>
      <c r="I11" s="83">
        <v>100</v>
      </c>
      <c r="J11" s="83"/>
      <c r="K11" s="84">
        <v>0</v>
      </c>
      <c r="L11" s="84">
        <v>0</v>
      </c>
      <c r="M11" s="96"/>
      <c r="N11" s="148">
        <f t="shared" si="0"/>
        <v>0</v>
      </c>
      <c r="O11" s="148">
        <f t="shared" si="1"/>
        <v>0</v>
      </c>
      <c r="P11" s="63">
        <f>January!N11</f>
        <v>0</v>
      </c>
      <c r="R11" s="25">
        <v>5</v>
      </c>
      <c r="S11" s="25" t="s">
        <v>86</v>
      </c>
      <c r="T11" s="33">
        <v>-400</v>
      </c>
      <c r="U11" s="25" t="s">
        <v>116</v>
      </c>
    </row>
    <row r="12" spans="2:21" ht="18.75" thickTop="1" thickBot="1" x14ac:dyDescent="0.5">
      <c r="C12" s="93">
        <v>6</v>
      </c>
      <c r="D12" s="98" t="s">
        <v>38</v>
      </c>
      <c r="E12" s="99" t="s">
        <v>39</v>
      </c>
      <c r="F12" s="82">
        <v>-500</v>
      </c>
      <c r="G12" s="82">
        <v>-100</v>
      </c>
      <c r="H12" s="153">
        <v>500</v>
      </c>
      <c r="I12" s="153">
        <v>100</v>
      </c>
      <c r="J12" s="83"/>
      <c r="K12" s="84">
        <v>0</v>
      </c>
      <c r="L12" s="84">
        <v>0</v>
      </c>
      <c r="M12" s="96"/>
      <c r="N12" s="148">
        <f t="shared" si="0"/>
        <v>0</v>
      </c>
      <c r="O12" s="148">
        <f t="shared" si="1"/>
        <v>0</v>
      </c>
      <c r="P12" s="63">
        <f>January!N12</f>
        <v>0</v>
      </c>
      <c r="R12" s="25">
        <v>6</v>
      </c>
      <c r="S12" s="25" t="s">
        <v>236</v>
      </c>
      <c r="T12" s="33">
        <f>-5300-4700</f>
        <v>-10000</v>
      </c>
      <c r="U12" s="25" t="s">
        <v>114</v>
      </c>
    </row>
    <row r="13" spans="2:21" ht="18.75" thickTop="1" thickBot="1" x14ac:dyDescent="0.5">
      <c r="C13" s="93">
        <v>7</v>
      </c>
      <c r="D13" s="98" t="s">
        <v>40</v>
      </c>
      <c r="E13" s="99" t="s">
        <v>41</v>
      </c>
      <c r="F13" s="82">
        <v>-300</v>
      </c>
      <c r="G13" s="82"/>
      <c r="H13" s="83"/>
      <c r="I13" s="83"/>
      <c r="J13" s="83"/>
      <c r="K13" s="84">
        <v>-3000</v>
      </c>
      <c r="L13" s="84">
        <v>0</v>
      </c>
      <c r="M13" s="96"/>
      <c r="N13" s="148">
        <f t="shared" si="0"/>
        <v>-3300</v>
      </c>
      <c r="O13" s="148">
        <f t="shared" si="1"/>
        <v>0</v>
      </c>
      <c r="P13" s="63">
        <f>January!N13</f>
        <v>-3000</v>
      </c>
      <c r="R13" s="25">
        <v>7</v>
      </c>
      <c r="S13" s="25" t="s">
        <v>123</v>
      </c>
      <c r="T13" s="33">
        <v>-8750</v>
      </c>
      <c r="U13" s="25" t="s">
        <v>114</v>
      </c>
    </row>
    <row r="14" spans="2:21" ht="18.75" thickTop="1" thickBot="1" x14ac:dyDescent="0.5">
      <c r="C14" s="100">
        <v>8</v>
      </c>
      <c r="D14" s="98" t="s">
        <v>42</v>
      </c>
      <c r="E14" s="98" t="s">
        <v>43</v>
      </c>
      <c r="F14" s="82">
        <v>-300</v>
      </c>
      <c r="G14" s="82"/>
      <c r="H14" s="83"/>
      <c r="I14" s="83"/>
      <c r="J14" s="83"/>
      <c r="K14" s="84">
        <v>0</v>
      </c>
      <c r="L14" s="84">
        <v>0</v>
      </c>
      <c r="M14" s="96"/>
      <c r="N14" s="148">
        <f t="shared" si="0"/>
        <v>-300</v>
      </c>
      <c r="O14" s="148">
        <f t="shared" si="1"/>
        <v>0</v>
      </c>
      <c r="P14" s="63">
        <f>January!N14</f>
        <v>0</v>
      </c>
      <c r="R14" s="25">
        <v>8</v>
      </c>
      <c r="S14" s="25" t="s">
        <v>234</v>
      </c>
      <c r="T14" s="33">
        <v>-150</v>
      </c>
      <c r="U14" s="25" t="s">
        <v>114</v>
      </c>
    </row>
    <row r="15" spans="2:21" ht="18.75" thickTop="1" thickBot="1" x14ac:dyDescent="0.5">
      <c r="C15" s="100">
        <v>9</v>
      </c>
      <c r="D15" s="98" t="s">
        <v>44</v>
      </c>
      <c r="E15" s="98" t="s">
        <v>45</v>
      </c>
      <c r="F15" s="82">
        <v>-500</v>
      </c>
      <c r="G15" s="82"/>
      <c r="H15" s="83">
        <v>500</v>
      </c>
      <c r="I15" s="83"/>
      <c r="J15" s="83"/>
      <c r="K15" s="84">
        <v>0</v>
      </c>
      <c r="L15" s="84">
        <v>0</v>
      </c>
      <c r="M15" s="96"/>
      <c r="N15" s="148">
        <f>F15+H15+K15</f>
        <v>0</v>
      </c>
      <c r="O15" s="148">
        <f t="shared" si="1"/>
        <v>0</v>
      </c>
      <c r="P15" s="63">
        <f>January!N15</f>
        <v>0</v>
      </c>
      <c r="R15" s="25">
        <v>9</v>
      </c>
      <c r="S15" s="25" t="s">
        <v>233</v>
      </c>
      <c r="T15" s="33">
        <v>-500</v>
      </c>
      <c r="U15" s="25" t="s">
        <v>114</v>
      </c>
    </row>
    <row r="16" spans="2:21" ht="18.75" thickTop="1" thickBot="1" x14ac:dyDescent="0.5">
      <c r="C16" s="100">
        <v>10</v>
      </c>
      <c r="D16" s="98" t="s">
        <v>46</v>
      </c>
      <c r="E16" s="98" t="s">
        <v>47</v>
      </c>
      <c r="F16" s="82">
        <v>-500</v>
      </c>
      <c r="G16" s="82">
        <v>-100</v>
      </c>
      <c r="H16" s="83"/>
      <c r="I16" s="83"/>
      <c r="J16" s="83"/>
      <c r="K16" s="84">
        <v>-500</v>
      </c>
      <c r="L16" s="84">
        <v>-100</v>
      </c>
      <c r="M16" s="96"/>
      <c r="N16" s="148">
        <f>F16+H16+K16</f>
        <v>-1000</v>
      </c>
      <c r="O16" s="148">
        <f t="shared" si="1"/>
        <v>-200</v>
      </c>
      <c r="P16" s="63">
        <f>January!N16</f>
        <v>-500</v>
      </c>
      <c r="R16" s="25">
        <v>10</v>
      </c>
      <c r="S16" s="25" t="s">
        <v>89</v>
      </c>
      <c r="T16" s="33">
        <v>-800</v>
      </c>
      <c r="U16" s="25" t="s">
        <v>114</v>
      </c>
    </row>
    <row r="17" spans="3:21" ht="18.75" thickTop="1" thickBot="1" x14ac:dyDescent="0.5">
      <c r="C17" s="100">
        <v>11</v>
      </c>
      <c r="D17" s="98" t="s">
        <v>48</v>
      </c>
      <c r="E17" s="98" t="s">
        <v>49</v>
      </c>
      <c r="F17" s="82">
        <v>-500</v>
      </c>
      <c r="G17" s="82">
        <v>-100</v>
      </c>
      <c r="H17" s="83"/>
      <c r="I17" s="83"/>
      <c r="J17" s="83"/>
      <c r="K17" s="84">
        <v>-1000</v>
      </c>
      <c r="L17" s="84">
        <v>-200</v>
      </c>
      <c r="M17" s="96"/>
      <c r="N17" s="148">
        <f>F17+H17+K17</f>
        <v>-1500</v>
      </c>
      <c r="O17" s="148">
        <f t="shared" si="1"/>
        <v>-300</v>
      </c>
      <c r="P17" s="63">
        <f>January!N17</f>
        <v>-1000</v>
      </c>
      <c r="R17" s="73">
        <v>11</v>
      </c>
      <c r="S17" s="73" t="s">
        <v>237</v>
      </c>
      <c r="T17" s="151">
        <v>-500</v>
      </c>
      <c r="U17" s="73"/>
    </row>
    <row r="18" spans="3:21" ht="18.399999999999999" thickTop="1" thickBot="1" x14ac:dyDescent="0.5">
      <c r="C18" s="100">
        <v>12</v>
      </c>
      <c r="D18" s="98" t="s">
        <v>50</v>
      </c>
      <c r="E18" s="98" t="s">
        <v>51</v>
      </c>
      <c r="F18" s="82">
        <v>-500</v>
      </c>
      <c r="G18" s="82">
        <v>-100</v>
      </c>
      <c r="H18" s="83">
        <v>500</v>
      </c>
      <c r="I18" s="83">
        <v>100</v>
      </c>
      <c r="J18" s="83"/>
      <c r="K18" s="84">
        <v>0</v>
      </c>
      <c r="L18" s="84">
        <v>0</v>
      </c>
      <c r="M18" s="96"/>
      <c r="N18" s="148">
        <f>F18+H18+K18</f>
        <v>0</v>
      </c>
      <c r="O18" s="148">
        <f t="shared" si="1"/>
        <v>0</v>
      </c>
      <c r="P18" s="63">
        <f>January!N18</f>
        <v>0</v>
      </c>
      <c r="R18" s="24"/>
      <c r="S18" s="24" t="s">
        <v>28</v>
      </c>
      <c r="T18" s="35">
        <f>SUM(T7:T17)</f>
        <v>-30605</v>
      </c>
      <c r="U18" s="24"/>
    </row>
    <row r="19" spans="3:21" ht="18" thickTop="1" thickBot="1" x14ac:dyDescent="0.5">
      <c r="C19" s="100">
        <v>13</v>
      </c>
      <c r="D19" s="98" t="s">
        <v>52</v>
      </c>
      <c r="E19" s="98" t="s">
        <v>53</v>
      </c>
      <c r="F19" s="82">
        <v>-500</v>
      </c>
      <c r="G19" s="82">
        <v>-100</v>
      </c>
      <c r="H19" s="83"/>
      <c r="I19" s="83"/>
      <c r="J19" s="83"/>
      <c r="K19" s="84">
        <v>2700</v>
      </c>
      <c r="L19" s="84">
        <v>900</v>
      </c>
      <c r="M19" s="96"/>
      <c r="N19" s="149">
        <f t="shared" si="0"/>
        <v>2200</v>
      </c>
      <c r="O19" s="149">
        <f t="shared" si="1"/>
        <v>800</v>
      </c>
      <c r="P19" s="63">
        <f>January!N19</f>
        <v>2700</v>
      </c>
    </row>
    <row r="20" spans="3:21" ht="18" thickTop="1" thickBot="1" x14ac:dyDescent="0.5">
      <c r="C20" s="100">
        <v>14</v>
      </c>
      <c r="D20" s="98" t="s">
        <v>169</v>
      </c>
      <c r="E20" s="98" t="s">
        <v>55</v>
      </c>
      <c r="F20" s="82">
        <v>-500</v>
      </c>
      <c r="G20" s="82">
        <v>-100</v>
      </c>
      <c r="H20" s="83"/>
      <c r="I20" s="83"/>
      <c r="J20" s="83"/>
      <c r="K20" s="84">
        <v>0</v>
      </c>
      <c r="L20" s="84">
        <v>0</v>
      </c>
      <c r="M20" s="96"/>
      <c r="N20" s="148">
        <f t="shared" si="0"/>
        <v>-500</v>
      </c>
      <c r="O20" s="148">
        <f t="shared" si="1"/>
        <v>-100</v>
      </c>
      <c r="P20" s="63">
        <f>January!N20</f>
        <v>0</v>
      </c>
    </row>
    <row r="21" spans="3:21" ht="24" thickTop="1" thickBot="1" x14ac:dyDescent="0.75">
      <c r="C21" s="100">
        <v>15</v>
      </c>
      <c r="D21" s="98" t="s">
        <v>56</v>
      </c>
      <c r="E21" s="98" t="s">
        <v>57</v>
      </c>
      <c r="F21" s="82">
        <v>-500</v>
      </c>
      <c r="G21" s="82">
        <v>-100</v>
      </c>
      <c r="H21" s="83"/>
      <c r="I21" s="83"/>
      <c r="J21" s="83"/>
      <c r="K21" s="84">
        <v>-500</v>
      </c>
      <c r="L21" s="84">
        <v>-1600</v>
      </c>
      <c r="M21" s="96"/>
      <c r="N21" s="148">
        <f t="shared" si="0"/>
        <v>-1000</v>
      </c>
      <c r="O21" s="148">
        <f t="shared" si="1"/>
        <v>-1700</v>
      </c>
      <c r="P21" s="63">
        <f>January!N21</f>
        <v>-500</v>
      </c>
      <c r="R21" s="162" t="s">
        <v>117</v>
      </c>
      <c r="S21" s="163"/>
      <c r="T21" s="163"/>
      <c r="U21" s="163"/>
    </row>
    <row r="22" spans="3:21" ht="25.5" customHeight="1" thickTop="1" thickBot="1" x14ac:dyDescent="0.5">
      <c r="C22" s="100">
        <v>16</v>
      </c>
      <c r="D22" s="98" t="s">
        <v>58</v>
      </c>
      <c r="E22" s="98" t="s">
        <v>59</v>
      </c>
      <c r="F22" s="82">
        <v>-500</v>
      </c>
      <c r="G22" s="82">
        <v>-100</v>
      </c>
      <c r="H22" s="83"/>
      <c r="I22" s="83"/>
      <c r="J22" s="83"/>
      <c r="K22" s="84">
        <v>-500</v>
      </c>
      <c r="L22" s="84">
        <v>-100</v>
      </c>
      <c r="M22" s="96"/>
      <c r="N22" s="148">
        <f t="shared" si="0"/>
        <v>-1000</v>
      </c>
      <c r="O22" s="148">
        <f t="shared" si="1"/>
        <v>-200</v>
      </c>
      <c r="P22" s="63">
        <f>January!N22</f>
        <v>-500</v>
      </c>
    </row>
    <row r="23" spans="3:21" ht="18.399999999999999" thickTop="1" thickBot="1" x14ac:dyDescent="0.5">
      <c r="C23" s="100">
        <v>17</v>
      </c>
      <c r="D23" s="98" t="s">
        <v>60</v>
      </c>
      <c r="E23" s="98" t="s">
        <v>61</v>
      </c>
      <c r="F23" s="82">
        <v>-500</v>
      </c>
      <c r="G23" s="82">
        <v>-100</v>
      </c>
      <c r="H23" s="83"/>
      <c r="I23" s="83"/>
      <c r="J23" s="83"/>
      <c r="K23" s="84">
        <v>0</v>
      </c>
      <c r="L23" s="84">
        <v>0</v>
      </c>
      <c r="M23" s="96"/>
      <c r="N23" s="148">
        <f t="shared" si="0"/>
        <v>-500</v>
      </c>
      <c r="O23" s="148">
        <f t="shared" si="1"/>
        <v>-100</v>
      </c>
      <c r="P23" s="63">
        <f>January!N23</f>
        <v>0</v>
      </c>
      <c r="R23" s="23" t="s">
        <v>16</v>
      </c>
      <c r="S23" s="24"/>
      <c r="T23" s="24" t="s">
        <v>17</v>
      </c>
    </row>
    <row r="24" spans="3:21" ht="18.75" thickTop="1" thickBot="1" x14ac:dyDescent="0.5">
      <c r="C24" s="100">
        <v>18</v>
      </c>
      <c r="D24" s="98" t="s">
        <v>181</v>
      </c>
      <c r="E24" s="98" t="s">
        <v>63</v>
      </c>
      <c r="F24" s="82">
        <v>-300</v>
      </c>
      <c r="G24" s="82"/>
      <c r="H24" s="83"/>
      <c r="I24" s="83"/>
      <c r="J24" s="83"/>
      <c r="K24" s="84">
        <v>-300</v>
      </c>
      <c r="L24" s="84">
        <v>0</v>
      </c>
      <c r="M24" s="96"/>
      <c r="N24" s="148">
        <f t="shared" si="0"/>
        <v>-600</v>
      </c>
      <c r="O24" s="148">
        <f t="shared" si="1"/>
        <v>0</v>
      </c>
      <c r="P24" s="63">
        <f>January!N24</f>
        <v>-300</v>
      </c>
      <c r="R24" s="25">
        <v>1</v>
      </c>
      <c r="S24" s="25" t="s">
        <v>19</v>
      </c>
      <c r="T24" s="32">
        <f>January!R27</f>
        <v>51346</v>
      </c>
    </row>
    <row r="25" spans="3:21" ht="18.75" thickTop="1" thickBot="1" x14ac:dyDescent="0.5">
      <c r="C25" s="100">
        <v>19</v>
      </c>
      <c r="D25" s="98" t="s">
        <v>64</v>
      </c>
      <c r="E25" s="98" t="s">
        <v>65</v>
      </c>
      <c r="F25" s="82">
        <v>-500</v>
      </c>
      <c r="G25" s="82">
        <v>-100</v>
      </c>
      <c r="H25" s="83">
        <v>500</v>
      </c>
      <c r="I25" s="83">
        <v>100</v>
      </c>
      <c r="J25" s="83"/>
      <c r="K25" s="84">
        <v>0</v>
      </c>
      <c r="L25" s="84">
        <v>0</v>
      </c>
      <c r="M25" s="96"/>
      <c r="N25" s="148">
        <f t="shared" si="0"/>
        <v>0</v>
      </c>
      <c r="O25" s="148">
        <f t="shared" si="1"/>
        <v>0</v>
      </c>
      <c r="P25" s="63">
        <f>January!N25</f>
        <v>0</v>
      </c>
      <c r="R25" s="25">
        <v>2</v>
      </c>
      <c r="S25" s="25" t="s">
        <v>119</v>
      </c>
      <c r="T25" s="32">
        <f>H33+3000</f>
        <v>9500</v>
      </c>
    </row>
    <row r="26" spans="3:21" ht="18.75" thickTop="1" thickBot="1" x14ac:dyDescent="0.5">
      <c r="C26" s="100">
        <v>20</v>
      </c>
      <c r="D26" s="98" t="s">
        <v>130</v>
      </c>
      <c r="E26" s="98" t="s">
        <v>67</v>
      </c>
      <c r="F26" s="82">
        <v>-500</v>
      </c>
      <c r="G26" s="82">
        <v>-100</v>
      </c>
      <c r="H26" s="83">
        <v>500</v>
      </c>
      <c r="I26" s="83">
        <v>100</v>
      </c>
      <c r="J26" s="83"/>
      <c r="K26" s="84">
        <v>-100</v>
      </c>
      <c r="L26" s="84">
        <v>-400</v>
      </c>
      <c r="M26" s="96"/>
      <c r="N26" s="148">
        <f t="shared" si="0"/>
        <v>-100</v>
      </c>
      <c r="O26" s="148">
        <f t="shared" si="1"/>
        <v>-400</v>
      </c>
      <c r="P26" s="63">
        <f>January!N26</f>
        <v>-100</v>
      </c>
      <c r="R26" s="25">
        <v>3</v>
      </c>
      <c r="S26" s="25" t="s">
        <v>120</v>
      </c>
      <c r="T26" s="33">
        <f>T18</f>
        <v>-30605</v>
      </c>
    </row>
    <row r="27" spans="3:21" ht="18.399999999999999" thickTop="1" thickBot="1" x14ac:dyDescent="0.5">
      <c r="C27" s="100">
        <v>21</v>
      </c>
      <c r="D27" s="98" t="s">
        <v>68</v>
      </c>
      <c r="E27" s="98" t="s">
        <v>69</v>
      </c>
      <c r="F27" s="82">
        <v>-500</v>
      </c>
      <c r="G27" s="82">
        <v>-100</v>
      </c>
      <c r="H27" s="83">
        <v>1000</v>
      </c>
      <c r="I27" s="83">
        <v>200</v>
      </c>
      <c r="J27" s="83"/>
      <c r="K27" s="84">
        <v>0</v>
      </c>
      <c r="L27" s="84">
        <v>0</v>
      </c>
      <c r="M27" s="96"/>
      <c r="N27" s="148">
        <f t="shared" si="0"/>
        <v>500</v>
      </c>
      <c r="O27" s="148">
        <f t="shared" si="1"/>
        <v>100</v>
      </c>
      <c r="P27" s="63">
        <f>January!N27</f>
        <v>0</v>
      </c>
      <c r="R27" s="24" t="s">
        <v>28</v>
      </c>
      <c r="S27" s="24"/>
      <c r="T27" s="26">
        <f>SUM(T24:T26)</f>
        <v>30241</v>
      </c>
    </row>
    <row r="28" spans="3:21" ht="18" thickTop="1" thickBot="1" x14ac:dyDescent="0.5">
      <c r="C28" s="100">
        <v>22</v>
      </c>
      <c r="D28" s="98" t="s">
        <v>70</v>
      </c>
      <c r="E28" s="98" t="s">
        <v>71</v>
      </c>
      <c r="F28" s="82">
        <v>-500</v>
      </c>
      <c r="G28" s="82">
        <v>-100</v>
      </c>
      <c r="H28" s="83">
        <v>500</v>
      </c>
      <c r="I28" s="83">
        <v>100</v>
      </c>
      <c r="J28" s="83"/>
      <c r="K28" s="84">
        <v>0</v>
      </c>
      <c r="L28" s="84">
        <v>0</v>
      </c>
      <c r="M28" s="96"/>
      <c r="N28" s="148">
        <f t="shared" si="0"/>
        <v>0</v>
      </c>
      <c r="O28" s="148">
        <f t="shared" si="1"/>
        <v>0</v>
      </c>
      <c r="P28" s="63">
        <f>January!N28</f>
        <v>0</v>
      </c>
    </row>
    <row r="29" spans="3:21" ht="18.399999999999999" thickTop="1" thickBot="1" x14ac:dyDescent="0.5">
      <c r="C29" s="100">
        <v>23</v>
      </c>
      <c r="D29" s="98" t="s">
        <v>72</v>
      </c>
      <c r="E29" s="98" t="s">
        <v>73</v>
      </c>
      <c r="F29" s="82">
        <v>-500</v>
      </c>
      <c r="G29" s="82">
        <v>-100</v>
      </c>
      <c r="H29" s="83">
        <v>500</v>
      </c>
      <c r="I29" s="83">
        <v>100</v>
      </c>
      <c r="J29" s="83"/>
      <c r="K29" s="84">
        <v>0</v>
      </c>
      <c r="L29" s="84">
        <v>0</v>
      </c>
      <c r="M29" s="96"/>
      <c r="N29" s="148">
        <f t="shared" si="0"/>
        <v>0</v>
      </c>
      <c r="O29" s="148">
        <f t="shared" si="1"/>
        <v>0</v>
      </c>
      <c r="P29" s="63">
        <f>January!N29</f>
        <v>0</v>
      </c>
      <c r="R29" s="23" t="s">
        <v>16</v>
      </c>
      <c r="S29" s="24" t="s">
        <v>118</v>
      </c>
      <c r="T29" s="24" t="s">
        <v>17</v>
      </c>
    </row>
    <row r="30" spans="3:21" ht="18.75" thickTop="1" thickBot="1" x14ac:dyDescent="0.5">
      <c r="C30" s="100">
        <v>24</v>
      </c>
      <c r="D30" s="98" t="s">
        <v>74</v>
      </c>
      <c r="E30" s="98" t="s">
        <v>75</v>
      </c>
      <c r="F30" s="82">
        <v>-500</v>
      </c>
      <c r="G30" s="82">
        <v>-100</v>
      </c>
      <c r="H30" s="83"/>
      <c r="I30" s="83"/>
      <c r="J30" s="83"/>
      <c r="K30" s="84">
        <v>0</v>
      </c>
      <c r="L30" s="84">
        <v>0</v>
      </c>
      <c r="M30" s="96"/>
      <c r="N30" s="148">
        <f t="shared" si="0"/>
        <v>-500</v>
      </c>
      <c r="O30" s="148">
        <f t="shared" si="1"/>
        <v>-100</v>
      </c>
      <c r="P30" s="63">
        <f>January!N30</f>
        <v>0</v>
      </c>
      <c r="R30" s="25">
        <v>1</v>
      </c>
      <c r="S30" s="25" t="s">
        <v>19</v>
      </c>
      <c r="T30" s="32">
        <f>January!R33</f>
        <v>37280</v>
      </c>
    </row>
    <row r="31" spans="3:21" ht="18.75" thickTop="1" thickBot="1" x14ac:dyDescent="0.5">
      <c r="C31" s="93">
        <v>25</v>
      </c>
      <c r="D31" s="98" t="s">
        <v>76</v>
      </c>
      <c r="E31" s="101" t="s">
        <v>77</v>
      </c>
      <c r="F31" s="82">
        <v>-500</v>
      </c>
      <c r="G31" s="82">
        <v>-100</v>
      </c>
      <c r="H31" s="153">
        <v>500</v>
      </c>
      <c r="I31" s="153">
        <v>100</v>
      </c>
      <c r="J31" s="83"/>
      <c r="K31" s="84">
        <v>0</v>
      </c>
      <c r="L31" s="84">
        <v>0</v>
      </c>
      <c r="M31" s="96"/>
      <c r="N31" s="148">
        <f t="shared" si="0"/>
        <v>0</v>
      </c>
      <c r="O31" s="148">
        <f t="shared" si="1"/>
        <v>0</v>
      </c>
      <c r="P31" s="63">
        <f>January!N31</f>
        <v>0</v>
      </c>
      <c r="R31" s="25">
        <v>2</v>
      </c>
      <c r="S31" s="25" t="s">
        <v>119</v>
      </c>
      <c r="T31" s="32">
        <f>I33</f>
        <v>1000</v>
      </c>
    </row>
    <row r="32" spans="3:21" ht="18.75" thickTop="1" thickBot="1" x14ac:dyDescent="0.5">
      <c r="C32" s="102">
        <v>26</v>
      </c>
      <c r="D32" s="103" t="s">
        <v>78</v>
      </c>
      <c r="E32" s="104" t="s">
        <v>79</v>
      </c>
      <c r="F32" s="85">
        <v>-300</v>
      </c>
      <c r="G32" s="85">
        <v>-100</v>
      </c>
      <c r="H32" s="86"/>
      <c r="I32" s="86"/>
      <c r="J32" s="86"/>
      <c r="K32" s="87">
        <v>-300</v>
      </c>
      <c r="L32" s="87">
        <v>-100</v>
      </c>
      <c r="M32" s="105"/>
      <c r="N32" s="148">
        <f>F32+H32+K32</f>
        <v>-600</v>
      </c>
      <c r="O32" s="148">
        <f t="shared" si="1"/>
        <v>-200</v>
      </c>
      <c r="P32" s="63">
        <f>January!N32</f>
        <v>-300</v>
      </c>
      <c r="R32" s="25">
        <v>3</v>
      </c>
      <c r="S32" s="25" t="s">
        <v>120</v>
      </c>
      <c r="T32" s="33">
        <f>-200-500</f>
        <v>-700</v>
      </c>
    </row>
    <row r="33" spans="3:21" ht="24" thickTop="1" thickBot="1" x14ac:dyDescent="0.5">
      <c r="C33" s="157" t="s">
        <v>80</v>
      </c>
      <c r="D33" s="158"/>
      <c r="E33" s="159"/>
      <c r="F33" s="30">
        <f>SUM(F7:F32)</f>
        <v>-12000</v>
      </c>
      <c r="G33" s="30">
        <f t="shared" ref="G33:L33" si="2">SUM(G7:G32)</f>
        <v>-1800</v>
      </c>
      <c r="H33" s="30">
        <f t="shared" si="2"/>
        <v>6500</v>
      </c>
      <c r="I33" s="30">
        <f t="shared" si="2"/>
        <v>1000</v>
      </c>
      <c r="J33" s="30"/>
      <c r="K33" s="30">
        <f t="shared" si="2"/>
        <v>-9200</v>
      </c>
      <c r="L33" s="30">
        <f t="shared" si="2"/>
        <v>-1600</v>
      </c>
      <c r="N33" s="30">
        <f>SUM(N7:N32)</f>
        <v>-14700</v>
      </c>
      <c r="O33" s="30">
        <f>SUM(O7:O32)</f>
        <v>-2400</v>
      </c>
      <c r="R33" s="24" t="s">
        <v>28</v>
      </c>
      <c r="S33" s="24" t="s">
        <v>28</v>
      </c>
      <c r="T33" s="26">
        <f>SUM(T30:T32)</f>
        <v>37580</v>
      </c>
    </row>
    <row r="34" spans="3:21" ht="14.65" thickBot="1" x14ac:dyDescent="0.5"/>
    <row r="35" spans="3:21" ht="18" thickBot="1" x14ac:dyDescent="0.5">
      <c r="N35" s="31">
        <f>N33-K33</f>
        <v>-5500</v>
      </c>
      <c r="R35" s="172" t="str">
        <f>January!R35</f>
        <v>الإجمالي (صيانة + اسانسير)</v>
      </c>
      <c r="S35" s="173"/>
      <c r="T35" s="26">
        <f>T33+T27</f>
        <v>67821</v>
      </c>
    </row>
    <row r="36" spans="3:21" x14ac:dyDescent="0.45">
      <c r="H36" s="31">
        <f>H33+I33-3600</f>
        <v>3900</v>
      </c>
      <c r="N36" s="31">
        <f>N33-K33</f>
        <v>-5500</v>
      </c>
    </row>
    <row r="37" spans="3:21" x14ac:dyDescent="0.45"/>
    <row r="38" spans="3:21" ht="14.65" thickBot="1" x14ac:dyDescent="0.5"/>
    <row r="39" spans="3:21" ht="22.9" thickBot="1" x14ac:dyDescent="0.5">
      <c r="R39" s="69" t="s">
        <v>184</v>
      </c>
      <c r="S39" s="69" t="s">
        <v>17</v>
      </c>
    </row>
    <row r="40" spans="3:21" ht="18" x14ac:dyDescent="0.45">
      <c r="R40" s="25" t="s">
        <v>132</v>
      </c>
      <c r="S40" s="126">
        <f>January!T42+600+600+600+600+500+500-30000+600</f>
        <v>52978</v>
      </c>
      <c r="T40">
        <v>78900</v>
      </c>
      <c r="U40" s="129">
        <f>T40-S40</f>
        <v>25922</v>
      </c>
    </row>
    <row r="41" spans="3:21" ht="18" x14ac:dyDescent="0.45">
      <c r="R41" s="25" t="s">
        <v>133</v>
      </c>
      <c r="S41" s="126">
        <f>January!T43+500+600+2000+1000+600+600+30000+T26+T32+1200</f>
        <v>14843</v>
      </c>
      <c r="U41">
        <v>-30000</v>
      </c>
    </row>
    <row r="42" spans="3:21" ht="14.65" thickBot="1" x14ac:dyDescent="0.5"/>
    <row r="43" spans="3:21" ht="22.9" thickBot="1" x14ac:dyDescent="0.5">
      <c r="R43" s="68" t="s">
        <v>28</v>
      </c>
      <c r="S43" s="127">
        <f>S40+S41</f>
        <v>67821</v>
      </c>
    </row>
    <row r="44" spans="3:21" ht="14.65" thickBot="1" x14ac:dyDescent="0.5">
      <c r="S44" s="64"/>
    </row>
    <row r="45" spans="3:21" ht="22.9" thickBot="1" x14ac:dyDescent="0.5">
      <c r="R45" s="68" t="s">
        <v>134</v>
      </c>
      <c r="S45" s="119">
        <f>S43-T35</f>
        <v>0</v>
      </c>
    </row>
    <row r="46" spans="3:21" x14ac:dyDescent="0.45"/>
    <row r="47" spans="3:21" x14ac:dyDescent="0.45"/>
    <row r="48" spans="3:21" x14ac:dyDescent="0.45"/>
  </sheetData>
  <mergeCells count="7">
    <mergeCell ref="R35:S35"/>
    <mergeCell ref="C33:E33"/>
    <mergeCell ref="C3:O3"/>
    <mergeCell ref="R3:U3"/>
    <mergeCell ref="C4:O4"/>
    <mergeCell ref="R4:U4"/>
    <mergeCell ref="R21:U21"/>
  </mergeCells>
  <pageMargins left="0.7" right="0.7" top="0.75" bottom="0.75" header="0.3" footer="0.3"/>
  <pageSetup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EDAE-836D-4768-BF7C-DDD2D14EA1AD}">
  <sheetPr>
    <pageSetUpPr fitToPage="1"/>
  </sheetPr>
  <dimension ref="A1:W44"/>
  <sheetViews>
    <sheetView showGridLines="0" topLeftCell="A2" zoomScale="55" zoomScaleNormal="85" workbookViewId="0">
      <selection activeCell="J42" sqref="J4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10" width="12.1328125" customWidth="1"/>
    <col min="11" max="11" width="15" customWidth="1"/>
    <col min="12" max="12" width="15.265625" customWidth="1"/>
    <col min="13" max="13" width="1.265625" customWidth="1"/>
    <col min="14" max="14" width="18.265625" customWidth="1"/>
    <col min="15" max="15" width="16" customWidth="1"/>
    <col min="16" max="17" width="9.1328125" customWidth="1"/>
    <col min="18" max="18" width="29.33203125" bestFit="1" customWidth="1"/>
    <col min="19" max="19" width="28.86328125" customWidth="1"/>
    <col min="20" max="20" width="12.3984375" bestFit="1" customWidth="1"/>
    <col min="21" max="21" width="31.86328125" customWidth="1"/>
    <col min="22" max="22" width="19" customWidth="1"/>
    <col min="23" max="23" width="8" bestFit="1" customWidth="1"/>
    <col min="24" max="16384" width="9.1328125" hidden="1"/>
  </cols>
  <sheetData>
    <row r="1" spans="2:21" x14ac:dyDescent="0.45">
      <c r="B1">
        <v>-1</v>
      </c>
    </row>
    <row r="2" spans="2:21" x14ac:dyDescent="0.45"/>
    <row r="3" spans="2:21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R3" s="162" t="s">
        <v>25</v>
      </c>
      <c r="S3" s="163"/>
      <c r="T3" s="163"/>
      <c r="U3" s="163"/>
    </row>
    <row r="4" spans="2:21" ht="23.25" x14ac:dyDescent="0.7">
      <c r="C4" s="162" t="s">
        <v>206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R4" s="162" t="s">
        <v>207</v>
      </c>
      <c r="S4" s="163"/>
      <c r="T4" s="163"/>
      <c r="U4" s="163"/>
    </row>
    <row r="5" spans="2:21" ht="4.5" customHeight="1" thickBot="1" x14ac:dyDescent="0.5"/>
    <row r="6" spans="2:21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/>
      <c r="K6" s="29" t="s">
        <v>109</v>
      </c>
      <c r="L6" s="29" t="s">
        <v>110</v>
      </c>
      <c r="N6" s="29" t="s">
        <v>111</v>
      </c>
      <c r="O6" s="29" t="s">
        <v>112</v>
      </c>
      <c r="R6" s="23" t="s">
        <v>16</v>
      </c>
      <c r="S6" s="24" t="s">
        <v>81</v>
      </c>
      <c r="T6" s="24" t="s">
        <v>17</v>
      </c>
      <c r="U6" s="24" t="s">
        <v>113</v>
      </c>
    </row>
    <row r="7" spans="2:21" ht="18.75" thickTop="1" thickBot="1" x14ac:dyDescent="0.5">
      <c r="C7" s="88">
        <v>1</v>
      </c>
      <c r="D7" s="89" t="s">
        <v>29</v>
      </c>
      <c r="E7" s="90" t="s">
        <v>30</v>
      </c>
      <c r="F7" s="80">
        <v>-500</v>
      </c>
      <c r="G7" s="80"/>
      <c r="H7" s="91">
        <v>500</v>
      </c>
      <c r="I7" s="91"/>
      <c r="J7" s="91"/>
      <c r="K7" s="81">
        <v>-500</v>
      </c>
      <c r="L7" s="81">
        <v>0</v>
      </c>
      <c r="N7" s="148">
        <f>F7+H7+K7</f>
        <v>-500</v>
      </c>
      <c r="O7" s="148">
        <f>G7+I7+L7</f>
        <v>0</v>
      </c>
      <c r="R7" s="25">
        <v>1</v>
      </c>
      <c r="S7" s="25" t="s">
        <v>82</v>
      </c>
      <c r="T7" s="33">
        <v>-3000</v>
      </c>
      <c r="U7" s="25" t="s">
        <v>114</v>
      </c>
    </row>
    <row r="8" spans="2:21" ht="18.75" thickTop="1" thickBot="1" x14ac:dyDescent="0.5">
      <c r="C8" s="93">
        <v>2</v>
      </c>
      <c r="D8" s="94" t="s">
        <v>194</v>
      </c>
      <c r="E8" s="95" t="s">
        <v>31</v>
      </c>
      <c r="F8" s="82">
        <v>-500</v>
      </c>
      <c r="G8" s="82"/>
      <c r="H8" s="83">
        <v>500</v>
      </c>
      <c r="I8" s="83"/>
      <c r="J8" s="83"/>
      <c r="K8" s="84">
        <v>0</v>
      </c>
      <c r="L8" s="81">
        <v>0</v>
      </c>
      <c r="N8" s="148">
        <f t="shared" ref="N8:O32" si="0">F8+H8+K8</f>
        <v>0</v>
      </c>
      <c r="O8" s="150">
        <f t="shared" si="0"/>
        <v>0</v>
      </c>
      <c r="R8" s="25">
        <v>2</v>
      </c>
      <c r="S8" s="25" t="s">
        <v>122</v>
      </c>
      <c r="T8" s="33">
        <v>-1800</v>
      </c>
      <c r="U8" s="25"/>
    </row>
    <row r="9" spans="2:21" ht="18.75" thickTop="1" thickBot="1" x14ac:dyDescent="0.5">
      <c r="C9" s="93">
        <v>3</v>
      </c>
      <c r="D9" s="98" t="s">
        <v>32</v>
      </c>
      <c r="E9" s="99" t="s">
        <v>33</v>
      </c>
      <c r="F9" s="82">
        <v>-300</v>
      </c>
      <c r="G9" s="82"/>
      <c r="H9" s="83"/>
      <c r="I9" s="83"/>
      <c r="J9" s="83"/>
      <c r="K9" s="84">
        <v>-6000</v>
      </c>
      <c r="L9" s="84">
        <v>0</v>
      </c>
      <c r="N9" s="148">
        <f t="shared" si="0"/>
        <v>-6300</v>
      </c>
      <c r="O9" s="148">
        <f t="shared" si="0"/>
        <v>0</v>
      </c>
      <c r="R9" s="25">
        <v>3</v>
      </c>
      <c r="S9" s="25" t="s">
        <v>84</v>
      </c>
      <c r="T9" s="33">
        <v>-2500</v>
      </c>
      <c r="U9" s="25" t="s">
        <v>114</v>
      </c>
    </row>
    <row r="10" spans="2:21" ht="18.75" thickTop="1" thickBot="1" x14ac:dyDescent="0.5">
      <c r="C10" s="93">
        <v>4</v>
      </c>
      <c r="D10" s="98" t="s">
        <v>34</v>
      </c>
      <c r="E10" s="99" t="s">
        <v>35</v>
      </c>
      <c r="F10" s="82">
        <v>-500</v>
      </c>
      <c r="G10" s="82"/>
      <c r="H10" s="153">
        <v>500</v>
      </c>
      <c r="I10" s="83"/>
      <c r="J10" s="83"/>
      <c r="K10" s="84">
        <v>0</v>
      </c>
      <c r="L10" s="84">
        <v>0</v>
      </c>
      <c r="N10" s="148">
        <f t="shared" si="0"/>
        <v>0</v>
      </c>
      <c r="O10" s="148">
        <f t="shared" si="0"/>
        <v>0</v>
      </c>
      <c r="R10" s="25">
        <v>4</v>
      </c>
      <c r="S10" s="25" t="s">
        <v>85</v>
      </c>
      <c r="T10" s="33">
        <v>-125</v>
      </c>
      <c r="U10" s="25"/>
    </row>
    <row r="11" spans="2:21" ht="18.75" thickTop="1" thickBot="1" x14ac:dyDescent="0.5">
      <c r="C11" s="93">
        <v>5</v>
      </c>
      <c r="D11" s="98" t="s">
        <v>36</v>
      </c>
      <c r="E11" s="99" t="s">
        <v>37</v>
      </c>
      <c r="F11" s="82">
        <v>-500</v>
      </c>
      <c r="G11" s="82">
        <v>-100</v>
      </c>
      <c r="H11" s="153">
        <v>1000</v>
      </c>
      <c r="I11" s="153">
        <v>200</v>
      </c>
      <c r="J11" s="83"/>
      <c r="K11" s="84">
        <v>-500</v>
      </c>
      <c r="L11" s="84">
        <v>-100</v>
      </c>
      <c r="N11" s="148">
        <f t="shared" si="0"/>
        <v>0</v>
      </c>
      <c r="O11" s="148">
        <f t="shared" si="0"/>
        <v>0</v>
      </c>
      <c r="R11" s="25">
        <v>5</v>
      </c>
      <c r="S11" s="25" t="s">
        <v>86</v>
      </c>
      <c r="T11" s="33">
        <v>-400</v>
      </c>
      <c r="U11" s="25" t="s">
        <v>116</v>
      </c>
    </row>
    <row r="12" spans="2:21" ht="18.75" thickTop="1" thickBot="1" x14ac:dyDescent="0.5">
      <c r="C12" s="93">
        <v>6</v>
      </c>
      <c r="D12" s="98" t="s">
        <v>38</v>
      </c>
      <c r="E12" s="99" t="s">
        <v>39</v>
      </c>
      <c r="F12" s="82">
        <v>-500</v>
      </c>
      <c r="G12" s="82">
        <v>-100</v>
      </c>
      <c r="H12" s="153">
        <v>500</v>
      </c>
      <c r="I12" s="153">
        <v>100</v>
      </c>
      <c r="J12" s="83"/>
      <c r="K12" s="84">
        <v>0</v>
      </c>
      <c r="L12" s="84">
        <v>0</v>
      </c>
      <c r="N12" s="148">
        <f t="shared" si="0"/>
        <v>0</v>
      </c>
      <c r="O12" s="148">
        <f t="shared" si="0"/>
        <v>0</v>
      </c>
      <c r="R12" s="25">
        <v>6</v>
      </c>
      <c r="S12" s="25" t="s">
        <v>124</v>
      </c>
      <c r="T12" s="33">
        <v>-1500</v>
      </c>
      <c r="U12" s="25" t="s">
        <v>114</v>
      </c>
    </row>
    <row r="13" spans="2:21" ht="18.75" thickTop="1" thickBot="1" x14ac:dyDescent="0.5">
      <c r="C13" s="93">
        <v>7</v>
      </c>
      <c r="D13" s="98" t="s">
        <v>40</v>
      </c>
      <c r="E13" s="99" t="s">
        <v>41</v>
      </c>
      <c r="F13" s="82">
        <v>-300</v>
      </c>
      <c r="G13" s="82"/>
      <c r="H13" s="128"/>
      <c r="I13" s="128"/>
      <c r="J13" s="83"/>
      <c r="K13" s="84">
        <v>-3300</v>
      </c>
      <c r="L13" s="84">
        <v>0</v>
      </c>
      <c r="N13" s="148">
        <f t="shared" si="0"/>
        <v>-3600</v>
      </c>
      <c r="O13" s="148">
        <f t="shared" si="0"/>
        <v>0</v>
      </c>
      <c r="R13" s="25">
        <v>7</v>
      </c>
      <c r="S13" s="25" t="s">
        <v>88</v>
      </c>
      <c r="T13" s="33">
        <v>-500</v>
      </c>
      <c r="U13" s="25" t="s">
        <v>114</v>
      </c>
    </row>
    <row r="14" spans="2:21" ht="18.75" thickTop="1" thickBot="1" x14ac:dyDescent="0.5">
      <c r="C14" s="100">
        <v>8</v>
      </c>
      <c r="D14" s="98" t="s">
        <v>42</v>
      </c>
      <c r="E14" s="98" t="s">
        <v>43</v>
      </c>
      <c r="F14" s="82">
        <v>-300</v>
      </c>
      <c r="G14" s="82"/>
      <c r="H14" s="153">
        <v>600</v>
      </c>
      <c r="I14" s="128"/>
      <c r="J14" s="83"/>
      <c r="K14" s="84">
        <v>-300</v>
      </c>
      <c r="L14" s="84">
        <v>0</v>
      </c>
      <c r="N14" s="148">
        <f t="shared" si="0"/>
        <v>0</v>
      </c>
      <c r="O14" s="148">
        <f t="shared" si="0"/>
        <v>0</v>
      </c>
      <c r="R14" s="25">
        <v>8</v>
      </c>
      <c r="S14" s="25" t="s">
        <v>238</v>
      </c>
      <c r="T14" s="33">
        <v>-850</v>
      </c>
      <c r="U14" s="25" t="s">
        <v>114</v>
      </c>
    </row>
    <row r="15" spans="2:21" ht="18.75" thickTop="1" thickBot="1" x14ac:dyDescent="0.5">
      <c r="C15" s="100">
        <v>9</v>
      </c>
      <c r="D15" s="98" t="s">
        <v>44</v>
      </c>
      <c r="E15" s="98" t="s">
        <v>45</v>
      </c>
      <c r="F15" s="82">
        <v>-500</v>
      </c>
      <c r="G15" s="82"/>
      <c r="H15" s="83">
        <v>500</v>
      </c>
      <c r="I15" s="128"/>
      <c r="J15" s="83"/>
      <c r="K15" s="84">
        <v>0</v>
      </c>
      <c r="L15" s="84">
        <v>0</v>
      </c>
      <c r="N15" s="148">
        <f t="shared" si="0"/>
        <v>0</v>
      </c>
      <c r="O15" s="148">
        <f t="shared" si="0"/>
        <v>0</v>
      </c>
      <c r="R15" s="25">
        <v>9</v>
      </c>
      <c r="S15" s="25" t="s">
        <v>192</v>
      </c>
      <c r="T15" s="33">
        <v>-465</v>
      </c>
      <c r="U15" s="25" t="s">
        <v>114</v>
      </c>
    </row>
    <row r="16" spans="2:21" ht="18.75" thickTop="1" thickBot="1" x14ac:dyDescent="0.5">
      <c r="C16" s="100">
        <v>10</v>
      </c>
      <c r="D16" s="98" t="s">
        <v>46</v>
      </c>
      <c r="E16" s="98" t="s">
        <v>47</v>
      </c>
      <c r="F16" s="82">
        <v>-500</v>
      </c>
      <c r="G16" s="82">
        <v>-100</v>
      </c>
      <c r="H16" s="153">
        <v>1000</v>
      </c>
      <c r="I16" s="153">
        <v>200</v>
      </c>
      <c r="J16" s="83"/>
      <c r="K16" s="84">
        <v>-1000</v>
      </c>
      <c r="L16" s="84">
        <v>-200</v>
      </c>
      <c r="N16" s="148">
        <f t="shared" si="0"/>
        <v>-500</v>
      </c>
      <c r="O16" s="148">
        <f t="shared" si="0"/>
        <v>-100</v>
      </c>
      <c r="R16" s="25">
        <v>10</v>
      </c>
      <c r="S16" s="25"/>
      <c r="T16" s="33"/>
      <c r="U16" s="25" t="s">
        <v>114</v>
      </c>
    </row>
    <row r="17" spans="3:21" ht="18.399999999999999" thickTop="1" thickBot="1" x14ac:dyDescent="0.5">
      <c r="C17" s="100">
        <v>11</v>
      </c>
      <c r="D17" s="98" t="s">
        <v>48</v>
      </c>
      <c r="E17" s="98" t="s">
        <v>49</v>
      </c>
      <c r="F17" s="82">
        <v>-500</v>
      </c>
      <c r="G17" s="82">
        <v>-100</v>
      </c>
      <c r="H17" s="153">
        <v>2000</v>
      </c>
      <c r="I17" s="153">
        <v>400</v>
      </c>
      <c r="J17" s="83"/>
      <c r="K17" s="84">
        <v>-1500</v>
      </c>
      <c r="L17" s="84">
        <v>-300</v>
      </c>
      <c r="N17" s="148">
        <f t="shared" si="0"/>
        <v>0</v>
      </c>
      <c r="O17" s="148">
        <f t="shared" si="0"/>
        <v>0</v>
      </c>
      <c r="R17" s="24"/>
      <c r="S17" s="24" t="s">
        <v>28</v>
      </c>
      <c r="T17" s="35">
        <f>SUM(T7:T16)</f>
        <v>-11140</v>
      </c>
      <c r="U17" s="24"/>
    </row>
    <row r="18" spans="3:21" ht="18" thickTop="1" thickBot="1" x14ac:dyDescent="0.5">
      <c r="C18" s="100">
        <v>12</v>
      </c>
      <c r="D18" s="98" t="s">
        <v>50</v>
      </c>
      <c r="E18" s="98" t="s">
        <v>51</v>
      </c>
      <c r="F18" s="82">
        <v>-500</v>
      </c>
      <c r="G18" s="82">
        <v>-100</v>
      </c>
      <c r="H18" s="153">
        <v>500</v>
      </c>
      <c r="I18" s="153">
        <v>100</v>
      </c>
      <c r="J18" s="83"/>
      <c r="K18" s="84">
        <v>0</v>
      </c>
      <c r="L18" s="84">
        <v>0</v>
      </c>
      <c r="N18" s="148">
        <f t="shared" si="0"/>
        <v>0</v>
      </c>
      <c r="O18" s="148">
        <f t="shared" si="0"/>
        <v>0</v>
      </c>
    </row>
    <row r="19" spans="3:21" ht="24" thickTop="1" thickBot="1" x14ac:dyDescent="0.75">
      <c r="C19" s="100">
        <v>13</v>
      </c>
      <c r="D19" s="98" t="s">
        <v>52</v>
      </c>
      <c r="E19" s="98" t="s">
        <v>53</v>
      </c>
      <c r="F19" s="82">
        <v>-500</v>
      </c>
      <c r="G19" s="82">
        <v>-100</v>
      </c>
      <c r="H19" s="128"/>
      <c r="I19" s="128"/>
      <c r="J19" s="83"/>
      <c r="K19" s="84">
        <v>2200</v>
      </c>
      <c r="L19" s="84">
        <v>800</v>
      </c>
      <c r="N19" s="149">
        <f t="shared" si="0"/>
        <v>1700</v>
      </c>
      <c r="O19" s="149">
        <f t="shared" si="0"/>
        <v>700</v>
      </c>
      <c r="R19" s="162" t="s">
        <v>117</v>
      </c>
      <c r="S19" s="163"/>
      <c r="T19" s="163"/>
    </row>
    <row r="20" spans="3:21" ht="18" thickTop="1" thickBot="1" x14ac:dyDescent="0.5">
      <c r="C20" s="100">
        <v>14</v>
      </c>
      <c r="D20" s="98" t="s">
        <v>169</v>
      </c>
      <c r="E20" s="98" t="s">
        <v>55</v>
      </c>
      <c r="F20" s="82">
        <v>-500</v>
      </c>
      <c r="G20" s="82">
        <v>-100</v>
      </c>
      <c r="H20" s="83">
        <v>1000</v>
      </c>
      <c r="I20" s="83">
        <v>200</v>
      </c>
      <c r="J20" s="83"/>
      <c r="K20" s="84">
        <v>-500</v>
      </c>
      <c r="L20" s="84">
        <v>-100</v>
      </c>
      <c r="N20" s="148">
        <f t="shared" si="0"/>
        <v>0</v>
      </c>
      <c r="O20" s="148">
        <f t="shared" si="0"/>
        <v>0</v>
      </c>
    </row>
    <row r="21" spans="3:21" ht="18.399999999999999" thickTop="1" thickBot="1" x14ac:dyDescent="0.5">
      <c r="C21" s="100">
        <v>15</v>
      </c>
      <c r="D21" s="98" t="s">
        <v>56</v>
      </c>
      <c r="E21" s="98" t="s">
        <v>57</v>
      </c>
      <c r="F21" s="82">
        <v>-500</v>
      </c>
      <c r="G21" s="82">
        <v>-100</v>
      </c>
      <c r="H21" s="153">
        <v>1500</v>
      </c>
      <c r="I21" s="128"/>
      <c r="J21" s="83"/>
      <c r="K21" s="84">
        <v>-1000</v>
      </c>
      <c r="L21" s="84">
        <v>-1700</v>
      </c>
      <c r="N21" s="148">
        <f t="shared" si="0"/>
        <v>0</v>
      </c>
      <c r="O21" s="148">
        <f t="shared" si="0"/>
        <v>-1800</v>
      </c>
      <c r="R21" s="23" t="s">
        <v>16</v>
      </c>
      <c r="S21" s="24"/>
      <c r="T21" s="24" t="s">
        <v>17</v>
      </c>
      <c r="U21">
        <f>600+600+600+600+600+600+500+500+500+500+2400+1200+1500+1200</f>
        <v>11900</v>
      </c>
    </row>
    <row r="22" spans="3:21" ht="25.5" customHeight="1" thickTop="1" thickBot="1" x14ac:dyDescent="0.5">
      <c r="C22" s="100">
        <v>16</v>
      </c>
      <c r="D22" s="98" t="s">
        <v>58</v>
      </c>
      <c r="E22" s="98" t="s">
        <v>59</v>
      </c>
      <c r="F22" s="82">
        <v>-500</v>
      </c>
      <c r="G22" s="82">
        <v>-100</v>
      </c>
      <c r="H22" s="128"/>
      <c r="I22" s="128"/>
      <c r="J22" s="83"/>
      <c r="K22" s="84">
        <v>-1000</v>
      </c>
      <c r="L22" s="84">
        <v>-200</v>
      </c>
      <c r="N22" s="148">
        <f t="shared" si="0"/>
        <v>-1500</v>
      </c>
      <c r="O22" s="148">
        <f t="shared" si="0"/>
        <v>-300</v>
      </c>
      <c r="R22" s="25">
        <v>1</v>
      </c>
      <c r="S22" s="25" t="s">
        <v>19</v>
      </c>
      <c r="T22" s="32">
        <f>Feb.!T27</f>
        <v>30241</v>
      </c>
      <c r="U22">
        <v>1800</v>
      </c>
    </row>
    <row r="23" spans="3:21" ht="18.75" thickTop="1" thickBot="1" x14ac:dyDescent="0.5">
      <c r="C23" s="100">
        <v>17</v>
      </c>
      <c r="D23" s="98" t="s">
        <v>60</v>
      </c>
      <c r="E23" s="98" t="s">
        <v>61</v>
      </c>
      <c r="F23" s="82">
        <v>-500</v>
      </c>
      <c r="G23" s="82">
        <v>-100</v>
      </c>
      <c r="H23" s="128"/>
      <c r="I23" s="128"/>
      <c r="J23" s="83"/>
      <c r="K23" s="84">
        <v>-500</v>
      </c>
      <c r="L23" s="84">
        <v>-100</v>
      </c>
      <c r="N23" s="148">
        <f t="shared" si="0"/>
        <v>-1000</v>
      </c>
      <c r="O23" s="148">
        <f t="shared" si="0"/>
        <v>-200</v>
      </c>
      <c r="R23" s="25">
        <v>2</v>
      </c>
      <c r="S23" s="25" t="s">
        <v>208</v>
      </c>
      <c r="T23" s="32">
        <f>H33</f>
        <v>13200</v>
      </c>
    </row>
    <row r="24" spans="3:21" ht="18.75" thickTop="1" thickBot="1" x14ac:dyDescent="0.5">
      <c r="C24" s="100">
        <v>18</v>
      </c>
      <c r="D24" s="98" t="s">
        <v>181</v>
      </c>
      <c r="E24" s="98" t="s">
        <v>63</v>
      </c>
      <c r="F24" s="82">
        <v>-300</v>
      </c>
      <c r="G24" s="82"/>
      <c r="H24" s="128"/>
      <c r="I24" s="128"/>
      <c r="J24" s="83"/>
      <c r="K24" s="84">
        <v>-600</v>
      </c>
      <c r="L24" s="84">
        <v>0</v>
      </c>
      <c r="N24" s="148">
        <f t="shared" si="0"/>
        <v>-900</v>
      </c>
      <c r="O24" s="148">
        <f t="shared" si="0"/>
        <v>0</v>
      </c>
      <c r="R24" s="25">
        <v>3</v>
      </c>
      <c r="S24" s="25" t="s">
        <v>209</v>
      </c>
      <c r="T24" s="33">
        <f>T17</f>
        <v>-11140</v>
      </c>
    </row>
    <row r="25" spans="3:21" ht="18.399999999999999" thickTop="1" thickBot="1" x14ac:dyDescent="0.5">
      <c r="C25" s="100">
        <v>19</v>
      </c>
      <c r="D25" s="98" t="s">
        <v>64</v>
      </c>
      <c r="E25" s="98" t="s">
        <v>65</v>
      </c>
      <c r="F25" s="82">
        <v>-500</v>
      </c>
      <c r="G25" s="82">
        <v>-100</v>
      </c>
      <c r="H25" s="83">
        <v>500</v>
      </c>
      <c r="I25" s="83">
        <v>100</v>
      </c>
      <c r="J25" s="83"/>
      <c r="K25" s="84">
        <v>0</v>
      </c>
      <c r="L25" s="84">
        <v>0</v>
      </c>
      <c r="N25" s="148">
        <f t="shared" si="0"/>
        <v>0</v>
      </c>
      <c r="O25" s="148">
        <f t="shared" si="0"/>
        <v>0</v>
      </c>
      <c r="R25" s="172" t="s">
        <v>28</v>
      </c>
      <c r="S25" s="173"/>
      <c r="T25" s="26">
        <f>SUM(T22:T24)</f>
        <v>32301</v>
      </c>
    </row>
    <row r="26" spans="3:21" ht="18" thickTop="1" thickBot="1" x14ac:dyDescent="0.5">
      <c r="C26" s="100">
        <v>20</v>
      </c>
      <c r="D26" s="94" t="s">
        <v>130</v>
      </c>
      <c r="E26" s="94" t="s">
        <v>67</v>
      </c>
      <c r="F26" s="97">
        <v>-500</v>
      </c>
      <c r="G26" s="97">
        <v>-100</v>
      </c>
      <c r="H26" s="83">
        <v>600</v>
      </c>
      <c r="I26" s="83">
        <v>600</v>
      </c>
      <c r="J26" s="83"/>
      <c r="K26" s="84">
        <v>-100</v>
      </c>
      <c r="L26" s="84">
        <v>-400</v>
      </c>
      <c r="N26" s="148">
        <f t="shared" si="0"/>
        <v>0</v>
      </c>
      <c r="O26" s="148">
        <f t="shared" si="0"/>
        <v>100</v>
      </c>
    </row>
    <row r="27" spans="3:21" ht="18.399999999999999" thickTop="1" thickBot="1" x14ac:dyDescent="0.5">
      <c r="C27" s="100">
        <v>21</v>
      </c>
      <c r="D27" s="98" t="s">
        <v>68</v>
      </c>
      <c r="E27" s="98" t="s">
        <v>69</v>
      </c>
      <c r="F27" s="82">
        <v>-500</v>
      </c>
      <c r="G27" s="82">
        <v>-100</v>
      </c>
      <c r="H27" s="83"/>
      <c r="I27" s="83"/>
      <c r="J27" s="83"/>
      <c r="K27" s="84">
        <v>500</v>
      </c>
      <c r="L27" s="84">
        <v>100</v>
      </c>
      <c r="N27" s="148">
        <f t="shared" si="0"/>
        <v>0</v>
      </c>
      <c r="O27" s="148">
        <f t="shared" si="0"/>
        <v>0</v>
      </c>
      <c r="R27" s="23" t="s">
        <v>16</v>
      </c>
      <c r="S27" s="24" t="s">
        <v>118</v>
      </c>
      <c r="T27" s="24" t="s">
        <v>17</v>
      </c>
    </row>
    <row r="28" spans="3:21" ht="18.75" thickTop="1" thickBot="1" x14ac:dyDescent="0.5">
      <c r="C28" s="100">
        <v>22</v>
      </c>
      <c r="D28" s="98" t="s">
        <v>70</v>
      </c>
      <c r="E28" s="98" t="s">
        <v>71</v>
      </c>
      <c r="F28" s="82">
        <v>-500</v>
      </c>
      <c r="G28" s="82">
        <v>-100</v>
      </c>
      <c r="H28" s="83">
        <v>500</v>
      </c>
      <c r="I28" s="83">
        <v>100</v>
      </c>
      <c r="J28" s="83"/>
      <c r="K28" s="84">
        <v>0</v>
      </c>
      <c r="L28" s="84">
        <v>0</v>
      </c>
      <c r="N28" s="148">
        <f t="shared" si="0"/>
        <v>0</v>
      </c>
      <c r="O28" s="148">
        <f t="shared" si="0"/>
        <v>0</v>
      </c>
      <c r="R28" s="25">
        <v>1</v>
      </c>
      <c r="S28" s="25" t="s">
        <v>19</v>
      </c>
      <c r="T28" s="32">
        <f>Feb.!T33</f>
        <v>37580</v>
      </c>
    </row>
    <row r="29" spans="3:21" ht="18.75" thickTop="1" thickBot="1" x14ac:dyDescent="0.5">
      <c r="C29" s="100">
        <v>23</v>
      </c>
      <c r="D29" s="98" t="s">
        <v>72</v>
      </c>
      <c r="E29" s="98" t="s">
        <v>73</v>
      </c>
      <c r="F29" s="82">
        <v>-500</v>
      </c>
      <c r="G29" s="82">
        <v>-100</v>
      </c>
      <c r="H29" s="83">
        <v>500</v>
      </c>
      <c r="I29" s="83">
        <v>100</v>
      </c>
      <c r="J29" s="83"/>
      <c r="K29" s="84">
        <v>0</v>
      </c>
      <c r="L29" s="84">
        <v>0</v>
      </c>
      <c r="N29" s="148">
        <f t="shared" si="0"/>
        <v>0</v>
      </c>
      <c r="O29" s="148">
        <f t="shared" si="0"/>
        <v>0</v>
      </c>
      <c r="R29" s="25">
        <v>2</v>
      </c>
      <c r="S29" s="25" t="s">
        <v>119</v>
      </c>
      <c r="T29" s="32">
        <f>I33</f>
        <v>2300</v>
      </c>
    </row>
    <row r="30" spans="3:21" ht="18.75" thickTop="1" thickBot="1" x14ac:dyDescent="0.5">
      <c r="C30" s="100">
        <v>24</v>
      </c>
      <c r="D30" s="98" t="s">
        <v>74</v>
      </c>
      <c r="E30" s="98" t="s">
        <v>75</v>
      </c>
      <c r="F30" s="82">
        <v>-500</v>
      </c>
      <c r="G30" s="82">
        <v>-100</v>
      </c>
      <c r="H30" s="83">
        <v>500</v>
      </c>
      <c r="I30" s="83">
        <v>100</v>
      </c>
      <c r="J30" s="83"/>
      <c r="K30" s="84">
        <v>-500</v>
      </c>
      <c r="L30" s="84">
        <v>-100</v>
      </c>
      <c r="N30" s="148">
        <f t="shared" si="0"/>
        <v>-500</v>
      </c>
      <c r="O30" s="148">
        <f t="shared" si="0"/>
        <v>-100</v>
      </c>
      <c r="R30" s="25">
        <v>3</v>
      </c>
      <c r="S30" s="25" t="s">
        <v>120</v>
      </c>
      <c r="T30" s="33">
        <v>-700</v>
      </c>
    </row>
    <row r="31" spans="3:21" ht="18.75" thickTop="1" thickBot="1" x14ac:dyDescent="0.5">
      <c r="C31" s="93">
        <v>25</v>
      </c>
      <c r="D31" s="98" t="s">
        <v>76</v>
      </c>
      <c r="E31" s="101" t="s">
        <v>77</v>
      </c>
      <c r="F31" s="82">
        <v>-500</v>
      </c>
      <c r="G31" s="82">
        <v>-100</v>
      </c>
      <c r="H31" s="83">
        <v>500</v>
      </c>
      <c r="I31" s="83">
        <v>100</v>
      </c>
      <c r="J31" s="83"/>
      <c r="K31" s="84">
        <v>0</v>
      </c>
      <c r="L31" s="84">
        <v>0</v>
      </c>
      <c r="N31" s="148">
        <f t="shared" si="0"/>
        <v>0</v>
      </c>
      <c r="O31" s="148">
        <f t="shared" si="0"/>
        <v>0</v>
      </c>
      <c r="R31" s="24" t="s">
        <v>28</v>
      </c>
      <c r="S31" s="24" t="s">
        <v>28</v>
      </c>
      <c r="T31" s="26">
        <f>SUM(T28:T30)</f>
        <v>39180</v>
      </c>
    </row>
    <row r="32" spans="3:21" ht="18.75" thickTop="1" thickBot="1" x14ac:dyDescent="0.5">
      <c r="C32" s="102">
        <v>26</v>
      </c>
      <c r="D32" s="103" t="s">
        <v>78</v>
      </c>
      <c r="E32" s="104" t="s">
        <v>79</v>
      </c>
      <c r="F32" s="85">
        <v>-300</v>
      </c>
      <c r="G32" s="85">
        <v>-100</v>
      </c>
      <c r="H32" s="86"/>
      <c r="I32" s="86"/>
      <c r="J32" s="86"/>
      <c r="K32" s="87">
        <v>-600</v>
      </c>
      <c r="L32" s="87">
        <v>-200</v>
      </c>
      <c r="N32" s="148">
        <f>F32+H32+K32</f>
        <v>-900</v>
      </c>
      <c r="O32" s="148">
        <f t="shared" si="0"/>
        <v>-300</v>
      </c>
    </row>
    <row r="33" spans="3:21" ht="24" thickTop="1" thickBot="1" x14ac:dyDescent="0.5">
      <c r="C33" s="157" t="s">
        <v>80</v>
      </c>
      <c r="D33" s="158"/>
      <c r="E33" s="159"/>
      <c r="F33" s="30">
        <f>SUM(F7:F32)</f>
        <v>-12000</v>
      </c>
      <c r="G33" s="30">
        <f t="shared" ref="G33:L33" si="1">SUM(G7:G32)</f>
        <v>-1800</v>
      </c>
      <c r="H33" s="30">
        <f t="shared" si="1"/>
        <v>13200</v>
      </c>
      <c r="I33" s="30">
        <f t="shared" si="1"/>
        <v>2300</v>
      </c>
      <c r="J33" s="30"/>
      <c r="K33" s="30">
        <f t="shared" si="1"/>
        <v>-15200</v>
      </c>
      <c r="L33" s="30">
        <f t="shared" si="1"/>
        <v>-2500</v>
      </c>
      <c r="N33" s="30">
        <f>SUM(N7:N32)</f>
        <v>-14000</v>
      </c>
      <c r="O33" s="30">
        <f>SUM(O7:O32)</f>
        <v>-2000</v>
      </c>
      <c r="R33" s="172" t="s">
        <v>121</v>
      </c>
      <c r="S33" s="173"/>
      <c r="T33" s="74">
        <f>T31+T25</f>
        <v>71481</v>
      </c>
    </row>
    <row r="34" spans="3:21" x14ac:dyDescent="0.45"/>
    <row r="35" spans="3:21" ht="14.65" thickBot="1" x14ac:dyDescent="0.5">
      <c r="N35" s="31">
        <f>N33-K33</f>
        <v>1200</v>
      </c>
    </row>
    <row r="36" spans="3:21" ht="22.9" thickBot="1" x14ac:dyDescent="0.5">
      <c r="H36" s="31">
        <f>H33+I33</f>
        <v>15500</v>
      </c>
      <c r="N36" s="31">
        <f>K33+H33+F33</f>
        <v>-14000</v>
      </c>
      <c r="R36" s="69" t="s">
        <v>184</v>
      </c>
      <c r="S36" s="69" t="s">
        <v>17</v>
      </c>
    </row>
    <row r="37" spans="3:21" ht="18" x14ac:dyDescent="0.45">
      <c r="H37">
        <v>-1800</v>
      </c>
      <c r="N37">
        <v>27100</v>
      </c>
      <c r="R37" s="25" t="s">
        <v>132</v>
      </c>
      <c r="S37" s="126">
        <f>52978+600+600+600+600+600+600+600+500+500+500+2400+1500+1200+600</f>
        <v>64378</v>
      </c>
    </row>
    <row r="38" spans="3:21" ht="10.9" customHeight="1" x14ac:dyDescent="0.45">
      <c r="N38" s="31">
        <f>N37+N33</f>
        <v>13100</v>
      </c>
      <c r="R38" s="25" t="s">
        <v>133</v>
      </c>
      <c r="S38" s="126">
        <f>14843+1200+600+1200+600+500+T24+T30</f>
        <v>7103</v>
      </c>
      <c r="U38" s="129">
        <f>S38-Feb.!S41</f>
        <v>-7740</v>
      </c>
    </row>
    <row r="39" spans="3:21" ht="14.65" customHeight="1" thickBot="1" x14ac:dyDescent="0.5"/>
    <row r="40" spans="3:21" ht="22.9" thickBot="1" x14ac:dyDescent="0.5">
      <c r="H40" s="129">
        <f>Feb.!S40+Feb.!S41</f>
        <v>67821</v>
      </c>
      <c r="R40" s="68" t="s">
        <v>28</v>
      </c>
      <c r="S40" s="127">
        <f>SUM(S37:S39)</f>
        <v>71481</v>
      </c>
    </row>
    <row r="41" spans="3:21" ht="14.65" thickBot="1" x14ac:dyDescent="0.5">
      <c r="H41" s="31">
        <f>H33+I33</f>
        <v>15500</v>
      </c>
      <c r="S41" s="64"/>
    </row>
    <row r="42" spans="3:21" ht="22.9" thickBot="1" x14ac:dyDescent="0.5">
      <c r="H42" s="63">
        <f>T17+T30</f>
        <v>-11840</v>
      </c>
      <c r="R42" s="68" t="s">
        <v>134</v>
      </c>
      <c r="S42" s="119">
        <f>S40-T33</f>
        <v>0</v>
      </c>
    </row>
    <row r="43" spans="3:21" x14ac:dyDescent="0.45"/>
    <row r="44" spans="3:21" x14ac:dyDescent="0.45"/>
  </sheetData>
  <mergeCells count="8">
    <mergeCell ref="C33:E33"/>
    <mergeCell ref="R25:S25"/>
    <mergeCell ref="C3:O3"/>
    <mergeCell ref="R3:U3"/>
    <mergeCell ref="C4:O4"/>
    <mergeCell ref="R4:U4"/>
    <mergeCell ref="R33:S33"/>
    <mergeCell ref="R19:T19"/>
  </mergeCells>
  <pageMargins left="0.7" right="0.7" top="0.75" bottom="0.75" header="0.3" footer="0.3"/>
  <pageSetup scale="4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6E67-62E7-4ED2-9699-48D5E05823B0}">
  <sheetPr>
    <pageSetUpPr fitToPage="1"/>
  </sheetPr>
  <dimension ref="A1:Y50"/>
  <sheetViews>
    <sheetView showGridLines="0" topLeftCell="D2" zoomScale="65" zoomScaleNormal="70" workbookViewId="0">
      <selection activeCell="J42" sqref="J42"/>
    </sheetView>
  </sheetViews>
  <sheetFormatPr defaultColWidth="9.1328125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18.265625" customWidth="1"/>
    <col min="14" max="14" width="16" customWidth="1"/>
    <col min="15" max="15" width="14.59765625" customWidth="1"/>
    <col min="16" max="16" width="9.1328125" customWidth="1"/>
    <col min="17" max="17" width="14.86328125" customWidth="1"/>
    <col min="18" max="18" width="35.3984375" customWidth="1"/>
    <col min="19" max="19" width="20.1328125" customWidth="1"/>
    <col min="20" max="20" width="31.86328125" hidden="1" customWidth="1"/>
    <col min="21" max="21" width="2.3984375" customWidth="1"/>
  </cols>
  <sheetData>
    <row r="1" spans="1:25" x14ac:dyDescent="0.45">
      <c r="B1">
        <v>-1</v>
      </c>
    </row>
    <row r="2" spans="1:25" x14ac:dyDescent="0.45"/>
    <row r="3" spans="1:25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Q3" s="162" t="s">
        <v>25</v>
      </c>
      <c r="R3" s="163"/>
      <c r="S3" s="163"/>
      <c r="T3" s="163"/>
    </row>
    <row r="4" spans="1:25" ht="23.25" x14ac:dyDescent="0.7">
      <c r="C4" s="162" t="s">
        <v>210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Q4" s="162" t="s">
        <v>211</v>
      </c>
      <c r="R4" s="163"/>
      <c r="S4" s="163"/>
      <c r="T4" s="163"/>
    </row>
    <row r="5" spans="1:25" ht="4.5" customHeight="1" thickBot="1" x14ac:dyDescent="0.5"/>
    <row r="6" spans="1:25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5" ht="4.5" customHeight="1" thickBot="1" x14ac:dyDescent="0.5"/>
    <row r="8" spans="1:25" ht="18.75" thickTop="1" thickBot="1" x14ac:dyDescent="0.5">
      <c r="A8">
        <v>1500</v>
      </c>
      <c r="B8">
        <f>A8-May!A8</f>
        <v>0</v>
      </c>
      <c r="C8" s="88">
        <v>1</v>
      </c>
      <c r="D8" s="89" t="s">
        <v>29</v>
      </c>
      <c r="E8" s="90" t="s">
        <v>30</v>
      </c>
      <c r="F8" s="80">
        <v>-500</v>
      </c>
      <c r="G8" s="80"/>
      <c r="H8" s="135">
        <v>500</v>
      </c>
      <c r="I8" s="135"/>
      <c r="J8" s="81">
        <v>-500</v>
      </c>
      <c r="K8" s="81">
        <v>0</v>
      </c>
      <c r="M8" s="82">
        <f t="shared" ref="M8:M33" si="0">F8+H8+J8</f>
        <v>-500</v>
      </c>
      <c r="N8" s="106">
        <f t="shared" ref="N8:N33" si="1">G8+I8+K8</f>
        <v>0</v>
      </c>
      <c r="Q8" s="25">
        <v>1</v>
      </c>
      <c r="R8" s="25" t="s">
        <v>82</v>
      </c>
      <c r="S8" s="33">
        <v>-3000</v>
      </c>
      <c r="T8" s="25" t="s">
        <v>114</v>
      </c>
      <c r="X8">
        <f>M8/F8</f>
        <v>1</v>
      </c>
      <c r="Y8">
        <f>IFERROR((N8/G8),0)</f>
        <v>0</v>
      </c>
    </row>
    <row r="9" spans="1:25" ht="18.399999999999999" thickBot="1" x14ac:dyDescent="0.5">
      <c r="C9" s="93">
        <v>2</v>
      </c>
      <c r="D9" s="94" t="s">
        <v>194</v>
      </c>
      <c r="E9" s="95" t="s">
        <v>31</v>
      </c>
      <c r="F9" s="82">
        <v>-500</v>
      </c>
      <c r="G9" s="82"/>
      <c r="H9" s="128">
        <v>500</v>
      </c>
      <c r="I9" s="128"/>
      <c r="J9" s="84">
        <v>0</v>
      </c>
      <c r="K9" s="84">
        <v>0</v>
      </c>
      <c r="M9" s="106">
        <f t="shared" si="0"/>
        <v>0</v>
      </c>
      <c r="N9" s="106">
        <f t="shared" si="1"/>
        <v>0</v>
      </c>
      <c r="Q9" s="25">
        <v>2</v>
      </c>
      <c r="R9" s="25" t="s">
        <v>122</v>
      </c>
      <c r="S9" s="67">
        <v>-1780</v>
      </c>
      <c r="T9" s="25"/>
      <c r="X9">
        <f t="shared" ref="X9:X34" si="2">M9/F9</f>
        <v>0</v>
      </c>
      <c r="Y9">
        <f t="shared" ref="Y9:Y34" si="3">IFERROR((N9/G9),0)</f>
        <v>0</v>
      </c>
    </row>
    <row r="10" spans="1:25" ht="18.399999999999999" thickBot="1" x14ac:dyDescent="0.5">
      <c r="C10" s="93">
        <v>3</v>
      </c>
      <c r="D10" s="98" t="s">
        <v>32</v>
      </c>
      <c r="E10" s="99" t="s">
        <v>33</v>
      </c>
      <c r="F10" s="82">
        <v>-300</v>
      </c>
      <c r="G10" s="82"/>
      <c r="H10" s="128"/>
      <c r="I10" s="128"/>
      <c r="J10" s="84">
        <v>-6300</v>
      </c>
      <c r="K10" s="84">
        <v>0</v>
      </c>
      <c r="M10" s="82">
        <f t="shared" si="0"/>
        <v>-6600</v>
      </c>
      <c r="N10" s="106">
        <f t="shared" si="1"/>
        <v>0</v>
      </c>
      <c r="Q10" s="25">
        <v>3</v>
      </c>
      <c r="R10" s="25" t="s">
        <v>84</v>
      </c>
      <c r="S10" s="67">
        <v>-2000</v>
      </c>
      <c r="T10" s="25" t="s">
        <v>114</v>
      </c>
      <c r="X10">
        <f t="shared" si="2"/>
        <v>22</v>
      </c>
      <c r="Y10">
        <f t="shared" si="3"/>
        <v>0</v>
      </c>
    </row>
    <row r="11" spans="1:25" ht="18.399999999999999" thickBot="1" x14ac:dyDescent="0.5">
      <c r="C11" s="93">
        <v>4</v>
      </c>
      <c r="D11" s="98" t="s">
        <v>34</v>
      </c>
      <c r="E11" s="99" t="s">
        <v>35</v>
      </c>
      <c r="F11" s="82">
        <v>-500</v>
      </c>
      <c r="G11" s="82"/>
      <c r="H11" s="128">
        <v>500</v>
      </c>
      <c r="I11" s="128"/>
      <c r="J11" s="84">
        <v>0</v>
      </c>
      <c r="K11" s="84">
        <v>0</v>
      </c>
      <c r="M11" s="106">
        <f t="shared" si="0"/>
        <v>0</v>
      </c>
      <c r="N11" s="106">
        <f t="shared" si="1"/>
        <v>0</v>
      </c>
      <c r="Q11" s="25">
        <v>4</v>
      </c>
      <c r="R11" s="25" t="s">
        <v>85</v>
      </c>
      <c r="S11" s="67">
        <v>-300</v>
      </c>
      <c r="T11" s="25"/>
      <c r="X11">
        <f t="shared" si="2"/>
        <v>0</v>
      </c>
      <c r="Y11">
        <f t="shared" si="3"/>
        <v>0</v>
      </c>
    </row>
    <row r="12" spans="1:25" ht="18.399999999999999" thickBot="1" x14ac:dyDescent="0.5">
      <c r="C12" s="93">
        <v>5</v>
      </c>
      <c r="D12" s="98" t="s">
        <v>36</v>
      </c>
      <c r="E12" s="99" t="s">
        <v>37</v>
      </c>
      <c r="F12" s="82">
        <v>-500</v>
      </c>
      <c r="G12" s="82">
        <v>-100</v>
      </c>
      <c r="H12" s="128">
        <v>500</v>
      </c>
      <c r="I12" s="128">
        <v>100</v>
      </c>
      <c r="J12" s="84">
        <v>0</v>
      </c>
      <c r="K12" s="84">
        <v>0</v>
      </c>
      <c r="M12" s="106">
        <f t="shared" si="0"/>
        <v>0</v>
      </c>
      <c r="N12" s="106">
        <f t="shared" si="1"/>
        <v>0</v>
      </c>
      <c r="Q12" s="25">
        <v>5</v>
      </c>
      <c r="R12" s="25" t="s">
        <v>86</v>
      </c>
      <c r="S12" s="67">
        <v>-400</v>
      </c>
      <c r="T12" s="25" t="s">
        <v>116</v>
      </c>
      <c r="X12">
        <f t="shared" si="2"/>
        <v>0</v>
      </c>
      <c r="Y12">
        <f t="shared" si="3"/>
        <v>0</v>
      </c>
    </row>
    <row r="13" spans="1:25" ht="18.399999999999999" thickBot="1" x14ac:dyDescent="0.5">
      <c r="A13">
        <v>600</v>
      </c>
      <c r="C13" s="93">
        <v>6</v>
      </c>
      <c r="D13" s="98" t="s">
        <v>38</v>
      </c>
      <c r="E13" s="99" t="s">
        <v>39</v>
      </c>
      <c r="F13" s="82">
        <v>-500</v>
      </c>
      <c r="G13" s="82">
        <v>-100</v>
      </c>
      <c r="H13" s="128">
        <v>500</v>
      </c>
      <c r="I13" s="128">
        <v>100</v>
      </c>
      <c r="J13" s="84">
        <v>0</v>
      </c>
      <c r="K13" s="84">
        <v>0</v>
      </c>
      <c r="M13" s="106">
        <f t="shared" si="0"/>
        <v>0</v>
      </c>
      <c r="N13" s="106">
        <f t="shared" si="1"/>
        <v>0</v>
      </c>
      <c r="Q13" s="25">
        <v>6</v>
      </c>
      <c r="R13" s="25" t="s">
        <v>125</v>
      </c>
      <c r="S13" s="67">
        <v>-350</v>
      </c>
      <c r="T13" s="25" t="s">
        <v>114</v>
      </c>
      <c r="X13">
        <f t="shared" si="2"/>
        <v>0</v>
      </c>
      <c r="Y13">
        <f t="shared" si="3"/>
        <v>0</v>
      </c>
    </row>
    <row r="14" spans="1:25" ht="18.399999999999999" thickBot="1" x14ac:dyDescent="0.5">
      <c r="C14" s="93">
        <v>7</v>
      </c>
      <c r="D14" s="98" t="s">
        <v>40</v>
      </c>
      <c r="E14" s="99" t="s">
        <v>41</v>
      </c>
      <c r="F14" s="82">
        <v>-300</v>
      </c>
      <c r="G14" s="82"/>
      <c r="H14" s="128"/>
      <c r="I14" s="128"/>
      <c r="J14" s="84">
        <v>-3600</v>
      </c>
      <c r="K14" s="84">
        <v>0</v>
      </c>
      <c r="M14" s="82">
        <f t="shared" si="0"/>
        <v>-3900</v>
      </c>
      <c r="N14" s="106">
        <f t="shared" si="1"/>
        <v>0</v>
      </c>
      <c r="Q14" s="25">
        <v>7</v>
      </c>
      <c r="R14" s="25" t="s">
        <v>126</v>
      </c>
      <c r="S14" s="67">
        <v>-500</v>
      </c>
      <c r="T14" s="25" t="s">
        <v>114</v>
      </c>
      <c r="X14">
        <f t="shared" si="2"/>
        <v>13</v>
      </c>
      <c r="Y14">
        <f t="shared" si="3"/>
        <v>0</v>
      </c>
    </row>
    <row r="15" spans="1:25" ht="18.399999999999999" thickBot="1" x14ac:dyDescent="0.5">
      <c r="C15" s="100">
        <v>8</v>
      </c>
      <c r="D15" s="98" t="s">
        <v>42</v>
      </c>
      <c r="E15" s="98" t="s">
        <v>43</v>
      </c>
      <c r="F15" s="82">
        <v>-300</v>
      </c>
      <c r="G15" s="82"/>
      <c r="H15" s="128">
        <v>300</v>
      </c>
      <c r="I15" s="128"/>
      <c r="J15" s="84">
        <v>0</v>
      </c>
      <c r="K15" s="84">
        <v>0</v>
      </c>
      <c r="M15" s="106">
        <f t="shared" si="0"/>
        <v>0</v>
      </c>
      <c r="N15" s="106">
        <f t="shared" si="1"/>
        <v>0</v>
      </c>
      <c r="Q15" s="25">
        <v>8</v>
      </c>
      <c r="R15" s="25" t="s">
        <v>240</v>
      </c>
      <c r="S15" s="67">
        <v>-500</v>
      </c>
      <c r="T15" s="25"/>
      <c r="X15">
        <f t="shared" si="2"/>
        <v>0</v>
      </c>
      <c r="Y15">
        <f t="shared" si="3"/>
        <v>0</v>
      </c>
    </row>
    <row r="16" spans="1:25" ht="18.399999999999999" thickBot="1" x14ac:dyDescent="0.5">
      <c r="C16" s="100">
        <v>9</v>
      </c>
      <c r="D16" s="98" t="s">
        <v>44</v>
      </c>
      <c r="E16" s="98" t="s">
        <v>45</v>
      </c>
      <c r="F16" s="82">
        <v>-500</v>
      </c>
      <c r="G16" s="82"/>
      <c r="H16" s="128">
        <v>500</v>
      </c>
      <c r="I16" s="128"/>
      <c r="J16" s="84">
        <v>0</v>
      </c>
      <c r="K16" s="84">
        <v>0</v>
      </c>
      <c r="M16" s="106">
        <f t="shared" si="0"/>
        <v>0</v>
      </c>
      <c r="N16" s="106">
        <f t="shared" si="1"/>
        <v>0</v>
      </c>
      <c r="Q16" s="25">
        <v>9</v>
      </c>
      <c r="R16" s="25" t="s">
        <v>239</v>
      </c>
      <c r="S16" s="67">
        <v>-250</v>
      </c>
      <c r="T16" s="25"/>
      <c r="X16">
        <f t="shared" si="2"/>
        <v>0</v>
      </c>
      <c r="Y16">
        <f t="shared" si="3"/>
        <v>0</v>
      </c>
    </row>
    <row r="17" spans="1:25" ht="18.399999999999999" thickBot="1" x14ac:dyDescent="0.5">
      <c r="C17" s="100">
        <v>10</v>
      </c>
      <c r="D17" s="98" t="s">
        <v>46</v>
      </c>
      <c r="E17" s="98" t="s">
        <v>47</v>
      </c>
      <c r="F17" s="82">
        <v>-500</v>
      </c>
      <c r="G17" s="82">
        <v>-100</v>
      </c>
      <c r="H17" s="128">
        <v>1000</v>
      </c>
      <c r="I17" s="128">
        <v>200</v>
      </c>
      <c r="J17" s="84">
        <v>-500</v>
      </c>
      <c r="K17" s="84">
        <v>-100</v>
      </c>
      <c r="M17" s="106">
        <f t="shared" si="0"/>
        <v>0</v>
      </c>
      <c r="N17" s="106">
        <f t="shared" si="1"/>
        <v>0</v>
      </c>
      <c r="Q17" s="25">
        <v>10</v>
      </c>
      <c r="R17" s="25" t="s">
        <v>128</v>
      </c>
      <c r="S17" s="33"/>
      <c r="T17" s="25"/>
      <c r="X17">
        <f t="shared" si="2"/>
        <v>0</v>
      </c>
      <c r="Y17">
        <f t="shared" si="3"/>
        <v>0</v>
      </c>
    </row>
    <row r="18" spans="1:25" ht="18" thickBot="1" x14ac:dyDescent="0.5">
      <c r="C18" s="100">
        <v>11</v>
      </c>
      <c r="D18" s="98" t="s">
        <v>48</v>
      </c>
      <c r="E18" s="98" t="s">
        <v>49</v>
      </c>
      <c r="F18" s="82">
        <v>-500</v>
      </c>
      <c r="G18" s="82">
        <v>-100</v>
      </c>
      <c r="H18" s="128"/>
      <c r="I18" s="128"/>
      <c r="J18" s="84">
        <v>0</v>
      </c>
      <c r="K18" s="84">
        <v>0</v>
      </c>
      <c r="M18" s="82">
        <f t="shared" si="0"/>
        <v>-500</v>
      </c>
      <c r="N18" s="82">
        <f t="shared" si="1"/>
        <v>-100</v>
      </c>
      <c r="Q18" s="24"/>
      <c r="R18" s="24" t="s">
        <v>28</v>
      </c>
      <c r="S18" s="35">
        <f>SUM(S8:S17)</f>
        <v>-9080</v>
      </c>
      <c r="T18" s="24"/>
      <c r="X18">
        <f t="shared" si="2"/>
        <v>1</v>
      </c>
      <c r="Y18">
        <f t="shared" si="3"/>
        <v>1</v>
      </c>
    </row>
    <row r="19" spans="1:25" ht="17.649999999999999" thickBot="1" x14ac:dyDescent="0.5">
      <c r="C19" s="100">
        <v>12</v>
      </c>
      <c r="D19" s="98" t="s">
        <v>50</v>
      </c>
      <c r="E19" s="98" t="s">
        <v>51</v>
      </c>
      <c r="F19" s="82">
        <v>-500</v>
      </c>
      <c r="G19" s="82">
        <v>-100</v>
      </c>
      <c r="H19" s="128">
        <v>500</v>
      </c>
      <c r="I19" s="128">
        <v>100</v>
      </c>
      <c r="J19" s="84">
        <v>0</v>
      </c>
      <c r="K19" s="84">
        <v>0</v>
      </c>
      <c r="M19" s="106">
        <f t="shared" si="0"/>
        <v>0</v>
      </c>
      <c r="N19" s="106">
        <f t="shared" si="1"/>
        <v>0</v>
      </c>
      <c r="X19">
        <f t="shared" si="2"/>
        <v>0</v>
      </c>
      <c r="Y19">
        <f t="shared" si="3"/>
        <v>0</v>
      </c>
    </row>
    <row r="20" spans="1:25" ht="23.65" thickBot="1" x14ac:dyDescent="0.75">
      <c r="C20" s="100">
        <v>13</v>
      </c>
      <c r="D20" s="98" t="s">
        <v>52</v>
      </c>
      <c r="E20" s="98" t="s">
        <v>53</v>
      </c>
      <c r="F20" s="82">
        <v>-500</v>
      </c>
      <c r="G20" s="82">
        <v>-100</v>
      </c>
      <c r="H20" s="128"/>
      <c r="I20" s="128"/>
      <c r="J20" s="84">
        <v>1700</v>
      </c>
      <c r="K20" s="84">
        <v>700</v>
      </c>
      <c r="M20" s="82">
        <f t="shared" si="0"/>
        <v>1200</v>
      </c>
      <c r="N20" s="82">
        <f t="shared" si="1"/>
        <v>600</v>
      </c>
      <c r="Q20" s="162" t="s">
        <v>117</v>
      </c>
      <c r="R20" s="163"/>
      <c r="S20" s="163"/>
      <c r="X20">
        <f t="shared" si="2"/>
        <v>-2.4</v>
      </c>
      <c r="Y20">
        <f t="shared" si="3"/>
        <v>-6</v>
      </c>
    </row>
    <row r="21" spans="1:25" ht="17.649999999999999" thickBot="1" x14ac:dyDescent="0.5">
      <c r="A21">
        <v>2300</v>
      </c>
      <c r="C21" s="100">
        <v>14</v>
      </c>
      <c r="D21" s="98" t="s">
        <v>169</v>
      </c>
      <c r="E21" s="98" t="s">
        <v>55</v>
      </c>
      <c r="F21" s="82">
        <v>-500</v>
      </c>
      <c r="G21" s="82">
        <v>-100</v>
      </c>
      <c r="H21" s="128">
        <v>500</v>
      </c>
      <c r="I21" s="128">
        <v>100</v>
      </c>
      <c r="J21" s="84">
        <v>0</v>
      </c>
      <c r="K21" s="84">
        <v>0</v>
      </c>
      <c r="M21" s="106">
        <f t="shared" si="0"/>
        <v>0</v>
      </c>
      <c r="N21" s="106">
        <f t="shared" si="1"/>
        <v>0</v>
      </c>
      <c r="X21">
        <f t="shared" si="2"/>
        <v>0</v>
      </c>
      <c r="Y21">
        <f t="shared" si="3"/>
        <v>0</v>
      </c>
    </row>
    <row r="22" spans="1:25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>
        <v>-500</v>
      </c>
      <c r="G22" s="82">
        <v>-100</v>
      </c>
      <c r="H22" s="128">
        <v>500</v>
      </c>
      <c r="I22" s="128">
        <v>100</v>
      </c>
      <c r="J22" s="84">
        <v>0</v>
      </c>
      <c r="K22" s="84">
        <v>-1800</v>
      </c>
      <c r="M22" s="106">
        <f t="shared" si="0"/>
        <v>0</v>
      </c>
      <c r="N22" s="82">
        <f t="shared" si="1"/>
        <v>-1800</v>
      </c>
      <c r="Q22" s="70" t="s">
        <v>16</v>
      </c>
      <c r="R22" s="69" t="s">
        <v>129</v>
      </c>
      <c r="S22" s="69" t="s">
        <v>17</v>
      </c>
      <c r="X22">
        <f t="shared" si="2"/>
        <v>0</v>
      </c>
      <c r="Y22">
        <f t="shared" si="3"/>
        <v>18</v>
      </c>
    </row>
    <row r="23" spans="1:25" ht="25.5" customHeight="1" thickBot="1" x14ac:dyDescent="0.5">
      <c r="C23" s="100">
        <v>16</v>
      </c>
      <c r="D23" s="98" t="s">
        <v>58</v>
      </c>
      <c r="E23" s="98" t="s">
        <v>59</v>
      </c>
      <c r="F23" s="82">
        <v>-500</v>
      </c>
      <c r="G23" s="82">
        <v>-100</v>
      </c>
      <c r="H23" s="128"/>
      <c r="I23" s="128"/>
      <c r="J23" s="84">
        <v>-1500</v>
      </c>
      <c r="K23" s="84">
        <v>-300</v>
      </c>
      <c r="M23" s="82">
        <f t="shared" si="0"/>
        <v>-2000</v>
      </c>
      <c r="N23" s="82">
        <f t="shared" si="1"/>
        <v>-400</v>
      </c>
      <c r="Q23" s="25">
        <v>1</v>
      </c>
      <c r="R23" s="25" t="s">
        <v>19</v>
      </c>
      <c r="S23" s="32">
        <f>Mar.!T25</f>
        <v>32301</v>
      </c>
      <c r="X23">
        <f t="shared" si="2"/>
        <v>4</v>
      </c>
      <c r="Y23">
        <f t="shared" si="3"/>
        <v>4</v>
      </c>
    </row>
    <row r="24" spans="1:25" ht="18.399999999999999" thickBot="1" x14ac:dyDescent="0.5">
      <c r="C24" s="100">
        <v>17</v>
      </c>
      <c r="D24" s="98" t="s">
        <v>60</v>
      </c>
      <c r="E24" s="98" t="s">
        <v>61</v>
      </c>
      <c r="F24" s="82">
        <v>-500</v>
      </c>
      <c r="G24" s="82">
        <v>-100</v>
      </c>
      <c r="H24" s="128"/>
      <c r="I24" s="128"/>
      <c r="J24" s="84">
        <v>-1000</v>
      </c>
      <c r="K24" s="84">
        <v>-200</v>
      </c>
      <c r="M24" s="82">
        <f t="shared" si="0"/>
        <v>-1500</v>
      </c>
      <c r="N24" s="82">
        <f t="shared" si="1"/>
        <v>-300</v>
      </c>
      <c r="Q24" s="25">
        <v>2</v>
      </c>
      <c r="R24" s="25" t="s">
        <v>119</v>
      </c>
      <c r="S24" s="32">
        <f>H35</f>
        <v>9500</v>
      </c>
      <c r="X24">
        <f t="shared" si="2"/>
        <v>3</v>
      </c>
      <c r="Y24">
        <f t="shared" si="3"/>
        <v>3</v>
      </c>
    </row>
    <row r="25" spans="1:25" ht="18.399999999999999" thickBot="1" x14ac:dyDescent="0.5">
      <c r="C25" s="100">
        <v>18</v>
      </c>
      <c r="D25" s="98" t="s">
        <v>181</v>
      </c>
      <c r="E25" s="98" t="s">
        <v>63</v>
      </c>
      <c r="F25" s="82">
        <v>-300</v>
      </c>
      <c r="G25" s="82"/>
      <c r="H25" s="128"/>
      <c r="I25" s="128"/>
      <c r="J25" s="84">
        <v>-900</v>
      </c>
      <c r="K25" s="84">
        <v>0</v>
      </c>
      <c r="M25" s="82">
        <f t="shared" si="0"/>
        <v>-1200</v>
      </c>
      <c r="N25" s="106">
        <f t="shared" si="1"/>
        <v>0</v>
      </c>
      <c r="Q25" s="25">
        <v>3</v>
      </c>
      <c r="R25" s="25" t="s">
        <v>120</v>
      </c>
      <c r="S25" s="33">
        <f>S18</f>
        <v>-9080</v>
      </c>
      <c r="X25">
        <f t="shared" si="2"/>
        <v>4</v>
      </c>
      <c r="Y25">
        <f t="shared" si="3"/>
        <v>0</v>
      </c>
    </row>
    <row r="26" spans="1:25" ht="22.9" thickBot="1" x14ac:dyDescent="0.5">
      <c r="A26" s="114">
        <v>1200</v>
      </c>
      <c r="C26" s="100">
        <v>19</v>
      </c>
      <c r="D26" s="98" t="s">
        <v>64</v>
      </c>
      <c r="E26" s="98" t="s">
        <v>65</v>
      </c>
      <c r="F26" s="82">
        <v>-500</v>
      </c>
      <c r="G26" s="82">
        <v>-100</v>
      </c>
      <c r="H26" s="128">
        <v>500</v>
      </c>
      <c r="I26" s="128">
        <v>100</v>
      </c>
      <c r="J26" s="84">
        <v>0</v>
      </c>
      <c r="K26" s="84">
        <v>0</v>
      </c>
      <c r="M26" s="106">
        <f t="shared" si="0"/>
        <v>0</v>
      </c>
      <c r="N26" s="106">
        <f t="shared" si="1"/>
        <v>0</v>
      </c>
      <c r="Q26" s="155" t="s">
        <v>28</v>
      </c>
      <c r="R26" s="156"/>
      <c r="S26" s="71">
        <f>SUM(S23:S25)</f>
        <v>32721</v>
      </c>
      <c r="X26">
        <f t="shared" si="2"/>
        <v>0</v>
      </c>
      <c r="Y26">
        <f t="shared" si="3"/>
        <v>0</v>
      </c>
    </row>
    <row r="27" spans="1:25" ht="17.649999999999999" thickBot="1" x14ac:dyDescent="0.5">
      <c r="A27">
        <v>2300</v>
      </c>
      <c r="C27" s="100">
        <v>20</v>
      </c>
      <c r="D27" s="98" t="s">
        <v>130</v>
      </c>
      <c r="E27" s="98" t="s">
        <v>67</v>
      </c>
      <c r="F27" s="82">
        <v>-500</v>
      </c>
      <c r="G27" s="82">
        <v>-100</v>
      </c>
      <c r="H27" s="128"/>
      <c r="I27" s="128"/>
      <c r="J27" s="84">
        <v>0</v>
      </c>
      <c r="K27" s="84">
        <v>100</v>
      </c>
      <c r="M27" s="82">
        <f t="shared" si="0"/>
        <v>-500</v>
      </c>
      <c r="N27" s="82">
        <f t="shared" si="1"/>
        <v>0</v>
      </c>
      <c r="X27">
        <f t="shared" si="2"/>
        <v>1</v>
      </c>
      <c r="Y27">
        <f t="shared" si="3"/>
        <v>0</v>
      </c>
    </row>
    <row r="28" spans="1:25" ht="22.9" thickBot="1" x14ac:dyDescent="0.5">
      <c r="C28" s="100">
        <v>21</v>
      </c>
      <c r="D28" s="98" t="s">
        <v>68</v>
      </c>
      <c r="E28" s="98" t="s">
        <v>69</v>
      </c>
      <c r="F28" s="82">
        <v>-500</v>
      </c>
      <c r="G28" s="82">
        <v>-100</v>
      </c>
      <c r="H28" s="128"/>
      <c r="I28" s="128"/>
      <c r="J28" s="84">
        <v>0</v>
      </c>
      <c r="K28" s="84">
        <v>0</v>
      </c>
      <c r="M28" s="82">
        <f t="shared" si="0"/>
        <v>-500</v>
      </c>
      <c r="N28" s="82">
        <f t="shared" si="1"/>
        <v>-100</v>
      </c>
      <c r="Q28" s="70" t="s">
        <v>16</v>
      </c>
      <c r="R28" s="69" t="s">
        <v>118</v>
      </c>
      <c r="S28" s="69" t="s">
        <v>17</v>
      </c>
      <c r="X28">
        <f t="shared" si="2"/>
        <v>1</v>
      </c>
      <c r="Y28">
        <f t="shared" si="3"/>
        <v>1</v>
      </c>
    </row>
    <row r="29" spans="1:25" ht="18.399999999999999" thickBot="1" x14ac:dyDescent="0.5">
      <c r="C29" s="100">
        <v>22</v>
      </c>
      <c r="D29" s="98" t="s">
        <v>70</v>
      </c>
      <c r="E29" s="98" t="s">
        <v>71</v>
      </c>
      <c r="F29" s="82">
        <v>-500</v>
      </c>
      <c r="G29" s="82">
        <v>-100</v>
      </c>
      <c r="H29" s="128">
        <v>500</v>
      </c>
      <c r="I29" s="128">
        <v>100</v>
      </c>
      <c r="J29" s="84">
        <v>0</v>
      </c>
      <c r="K29" s="84">
        <v>0</v>
      </c>
      <c r="M29" s="106">
        <f t="shared" si="0"/>
        <v>0</v>
      </c>
      <c r="N29" s="106">
        <f t="shared" si="1"/>
        <v>0</v>
      </c>
      <c r="Q29" s="25">
        <v>1</v>
      </c>
      <c r="R29" s="25" t="s">
        <v>19</v>
      </c>
      <c r="S29" s="32">
        <f>Mar.!T31</f>
        <v>39180</v>
      </c>
      <c r="X29">
        <f t="shared" si="2"/>
        <v>0</v>
      </c>
      <c r="Y29">
        <f t="shared" si="3"/>
        <v>0</v>
      </c>
    </row>
    <row r="30" spans="1:25" ht="18.399999999999999" thickBot="1" x14ac:dyDescent="0.5">
      <c r="C30" s="100">
        <v>23</v>
      </c>
      <c r="D30" s="98" t="s">
        <v>72</v>
      </c>
      <c r="E30" s="98" t="s">
        <v>73</v>
      </c>
      <c r="F30" s="82">
        <v>-500</v>
      </c>
      <c r="G30" s="82">
        <v>-100</v>
      </c>
      <c r="H30" s="128">
        <v>500</v>
      </c>
      <c r="I30" s="128">
        <v>100</v>
      </c>
      <c r="J30" s="84">
        <v>0</v>
      </c>
      <c r="K30" s="84">
        <v>0</v>
      </c>
      <c r="M30" s="106">
        <f t="shared" si="0"/>
        <v>0</v>
      </c>
      <c r="N30" s="106">
        <f t="shared" si="1"/>
        <v>0</v>
      </c>
      <c r="Q30" s="25">
        <v>2</v>
      </c>
      <c r="R30" s="25" t="s">
        <v>119</v>
      </c>
      <c r="S30" s="32">
        <f>I35</f>
        <v>1600</v>
      </c>
      <c r="X30">
        <f t="shared" si="2"/>
        <v>0</v>
      </c>
      <c r="Y30">
        <f t="shared" si="3"/>
        <v>0</v>
      </c>
    </row>
    <row r="31" spans="1:25" ht="18.399999999999999" thickBot="1" x14ac:dyDescent="0.5">
      <c r="A31">
        <v>1200</v>
      </c>
      <c r="C31" s="100">
        <v>24</v>
      </c>
      <c r="D31" s="98" t="s">
        <v>74</v>
      </c>
      <c r="E31" s="98" t="s">
        <v>75</v>
      </c>
      <c r="F31" s="82">
        <v>-500</v>
      </c>
      <c r="G31" s="82">
        <v>-100</v>
      </c>
      <c r="H31" s="128">
        <v>500</v>
      </c>
      <c r="I31" s="128">
        <v>100</v>
      </c>
      <c r="J31" s="84">
        <v>-500</v>
      </c>
      <c r="K31" s="84">
        <v>-100</v>
      </c>
      <c r="M31" s="82">
        <f t="shared" si="0"/>
        <v>-500</v>
      </c>
      <c r="N31" s="82">
        <f t="shared" si="1"/>
        <v>-100</v>
      </c>
      <c r="Q31" s="25">
        <v>3</v>
      </c>
      <c r="R31" s="25" t="s">
        <v>120</v>
      </c>
      <c r="S31" s="33">
        <f>-200-500</f>
        <v>-700</v>
      </c>
      <c r="X31">
        <f t="shared" si="2"/>
        <v>1</v>
      </c>
      <c r="Y31">
        <f t="shared" si="3"/>
        <v>1</v>
      </c>
    </row>
    <row r="32" spans="1:25" ht="22.9" thickBot="1" x14ac:dyDescent="0.5">
      <c r="A32" s="66">
        <v>1200</v>
      </c>
      <c r="C32" s="93">
        <v>25</v>
      </c>
      <c r="D32" s="98" t="s">
        <v>76</v>
      </c>
      <c r="E32" s="101" t="s">
        <v>77</v>
      </c>
      <c r="F32" s="82">
        <v>-500</v>
      </c>
      <c r="G32" s="82">
        <v>-100</v>
      </c>
      <c r="H32" s="128">
        <v>500</v>
      </c>
      <c r="I32" s="128">
        <v>100</v>
      </c>
      <c r="J32" s="84">
        <v>0</v>
      </c>
      <c r="K32" s="84">
        <v>0</v>
      </c>
      <c r="M32" s="106">
        <f t="shared" si="0"/>
        <v>0</v>
      </c>
      <c r="N32" s="106">
        <f t="shared" si="1"/>
        <v>0</v>
      </c>
      <c r="Q32" s="155" t="s">
        <v>28</v>
      </c>
      <c r="R32" s="156"/>
      <c r="S32" s="71">
        <f>SUM(S29:S31)</f>
        <v>40080</v>
      </c>
      <c r="X32">
        <f t="shared" si="2"/>
        <v>0</v>
      </c>
      <c r="Y32">
        <f t="shared" si="3"/>
        <v>0</v>
      </c>
    </row>
    <row r="33" spans="1:25" ht="18.399999999999999" thickBot="1" x14ac:dyDescent="0.5">
      <c r="C33" s="102">
        <v>26</v>
      </c>
      <c r="D33" s="103" t="s">
        <v>78</v>
      </c>
      <c r="E33" s="104" t="s">
        <v>79</v>
      </c>
      <c r="F33" s="85">
        <v>-300</v>
      </c>
      <c r="G33" s="85">
        <v>-100</v>
      </c>
      <c r="H33" s="136">
        <v>1200</v>
      </c>
      <c r="I33" s="136">
        <v>400</v>
      </c>
      <c r="J33" s="87">
        <v>-900</v>
      </c>
      <c r="K33" s="87">
        <v>-300</v>
      </c>
      <c r="M33" s="106">
        <f t="shared" si="0"/>
        <v>0</v>
      </c>
      <c r="N33" s="106">
        <f t="shared" si="1"/>
        <v>0</v>
      </c>
      <c r="X33">
        <f t="shared" si="2"/>
        <v>0</v>
      </c>
      <c r="Y33">
        <f t="shared" si="3"/>
        <v>0</v>
      </c>
    </row>
    <row r="34" spans="1:25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  <c r="X34" t="e">
        <f t="shared" si="2"/>
        <v>#DIV/0!</v>
      </c>
      <c r="Y34">
        <f t="shared" si="3"/>
        <v>0</v>
      </c>
    </row>
    <row r="35" spans="1:25" ht="23.65" thickBot="1" x14ac:dyDescent="0.5">
      <c r="C35" s="157" t="s">
        <v>80</v>
      </c>
      <c r="D35" s="158"/>
      <c r="E35" s="159"/>
      <c r="F35" s="30">
        <f>SUM(F8:F33)</f>
        <v>-12000</v>
      </c>
      <c r="G35" s="30">
        <f t="shared" ref="G35:K35" si="4">SUM(G8:G33)</f>
        <v>-1800</v>
      </c>
      <c r="H35" s="30">
        <f t="shared" si="4"/>
        <v>9500</v>
      </c>
      <c r="I35" s="30">
        <f t="shared" si="4"/>
        <v>1600</v>
      </c>
      <c r="J35" s="30">
        <f t="shared" si="4"/>
        <v>-14000</v>
      </c>
      <c r="K35" s="30">
        <f t="shared" si="4"/>
        <v>-2000</v>
      </c>
      <c r="M35" s="30">
        <f>SUM(M8:M33)</f>
        <v>-16500</v>
      </c>
      <c r="N35" s="30">
        <f>SUM(N8:N33)</f>
        <v>-2200</v>
      </c>
      <c r="Q35" s="155" t="s">
        <v>121</v>
      </c>
      <c r="R35" s="156"/>
      <c r="S35" s="71">
        <f>S32+S26</f>
        <v>72801</v>
      </c>
    </row>
    <row r="36" spans="1:25" x14ac:dyDescent="0.45">
      <c r="A36">
        <f>SUM(A8:A32)</f>
        <v>11800</v>
      </c>
    </row>
    <row r="37" spans="1:25" x14ac:dyDescent="0.45">
      <c r="F37" s="31">
        <f>F35+H35</f>
        <v>-2500</v>
      </c>
      <c r="R37">
        <v>24180</v>
      </c>
      <c r="S37" s="36">
        <f>S35+S43+S44</f>
        <v>145602</v>
      </c>
    </row>
    <row r="38" spans="1:25" ht="18" x14ac:dyDescent="0.45">
      <c r="I38" s="31">
        <f>I35+Mar.!I33+Feb.!I33+January!I33</f>
        <v>7700</v>
      </c>
      <c r="K38">
        <v>50000</v>
      </c>
      <c r="S38" s="32">
        <f>S26</f>
        <v>32721</v>
      </c>
    </row>
    <row r="39" spans="1:25" ht="18" x14ac:dyDescent="0.45">
      <c r="D39">
        <v>26900</v>
      </c>
      <c r="I39" s="31">
        <f>I38-S38</f>
        <v>-25021</v>
      </c>
      <c r="K39">
        <v>11800</v>
      </c>
      <c r="S39" s="32">
        <f>S32</f>
        <v>40080</v>
      </c>
    </row>
    <row r="40" spans="1:25" ht="10.9" customHeight="1" x14ac:dyDescent="0.45">
      <c r="D40">
        <v>11800</v>
      </c>
      <c r="K40">
        <f>SUM(K38:K39)</f>
        <v>61800</v>
      </c>
    </row>
    <row r="41" spans="1:25" ht="14.65" customHeight="1" thickBot="1" x14ac:dyDescent="0.5">
      <c r="K41" s="66" t="b">
        <f>-K40=S43</f>
        <v>0</v>
      </c>
    </row>
    <row r="42" spans="1:25" ht="22.9" thickBot="1" x14ac:dyDescent="0.5">
      <c r="R42" s="69" t="s">
        <v>131</v>
      </c>
      <c r="S42" s="69" t="s">
        <v>17</v>
      </c>
    </row>
    <row r="43" spans="1:25" ht="18" x14ac:dyDescent="0.45">
      <c r="R43" s="25" t="s">
        <v>132</v>
      </c>
      <c r="S43" s="118">
        <f>Mar.!S37+1600+600+600+600+600+600+500+500+600+500+300+600+600+1200-40000</f>
        <v>33778</v>
      </c>
      <c r="T43" s="32"/>
    </row>
    <row r="44" spans="1:25" ht="18.399999999999999" thickBot="1" x14ac:dyDescent="0.5">
      <c r="R44" s="25" t="s">
        <v>133</v>
      </c>
      <c r="S44" s="118">
        <f>Mar.!S38+600+500+40000+600+S25+S31</f>
        <v>39023</v>
      </c>
      <c r="T44" s="32"/>
      <c r="V44">
        <v>38672</v>
      </c>
    </row>
    <row r="45" spans="1:25" ht="22.9" thickBot="1" x14ac:dyDescent="0.5">
      <c r="R45" s="68" t="str">
        <f>Q32</f>
        <v>الإجمالي</v>
      </c>
      <c r="S45" s="119">
        <f>SUM(S43:S44)</f>
        <v>72801</v>
      </c>
      <c r="T45" s="71"/>
      <c r="V45" s="31">
        <f>S44-V44</f>
        <v>351</v>
      </c>
    </row>
    <row r="46" spans="1:25" ht="14.65" thickBot="1" x14ac:dyDescent="0.5">
      <c r="S46" s="64"/>
      <c r="V46">
        <v>250</v>
      </c>
    </row>
    <row r="47" spans="1:25" ht="22.9" thickBot="1" x14ac:dyDescent="0.5">
      <c r="R47" s="68" t="s">
        <v>134</v>
      </c>
      <c r="S47" s="119">
        <f>S45-S35</f>
        <v>0</v>
      </c>
    </row>
    <row r="48" spans="1:25" x14ac:dyDescent="0.45"/>
    <row r="49" x14ac:dyDescent="0.45"/>
    <row r="50" x14ac:dyDescent="0.45"/>
  </sheetData>
  <mergeCells count="9">
    <mergeCell ref="C35:E35"/>
    <mergeCell ref="C3:N3"/>
    <mergeCell ref="Q3:T3"/>
    <mergeCell ref="C4:N4"/>
    <mergeCell ref="Q4:T4"/>
    <mergeCell ref="Q26:R26"/>
    <mergeCell ref="Q32:R32"/>
    <mergeCell ref="Q35:R35"/>
    <mergeCell ref="Q20:S20"/>
  </mergeCells>
  <pageMargins left="0.7" right="0.7" top="0.75" bottom="0.75" header="0.3" footer="0.3"/>
  <pageSetup scale="4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F16A-4814-4E97-8933-299AD5A8013A}">
  <sheetPr>
    <pageSetUpPr fitToPage="1"/>
  </sheetPr>
  <dimension ref="A1:AA56"/>
  <sheetViews>
    <sheetView showGridLines="0" topLeftCell="A19" zoomScale="61" zoomScaleNormal="55" workbookViewId="0">
      <selection activeCell="J42" sqref="J42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18.265625" customWidth="1"/>
    <col min="14" max="14" width="16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3" ht="6.6" customHeight="1" x14ac:dyDescent="0.45">
      <c r="B1">
        <v>-1</v>
      </c>
    </row>
    <row r="3" spans="1:23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Q3" s="162" t="s">
        <v>25</v>
      </c>
      <c r="R3" s="163"/>
      <c r="S3" s="163"/>
      <c r="T3" s="163"/>
    </row>
    <row r="4" spans="1:23" ht="23.25" x14ac:dyDescent="0.7">
      <c r="C4" s="162" t="s">
        <v>212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Q4" s="162" t="s">
        <v>213</v>
      </c>
      <c r="R4" s="163"/>
      <c r="S4" s="163"/>
      <c r="T4" s="163"/>
    </row>
    <row r="5" spans="1:23" ht="4.5" customHeight="1" thickBot="1" x14ac:dyDescent="0.5"/>
    <row r="6" spans="1:23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3" ht="4.5" customHeight="1" thickBot="1" x14ac:dyDescent="0.5"/>
    <row r="8" spans="1:23" ht="18.75" thickTop="1" thickBot="1" x14ac:dyDescent="0.5">
      <c r="A8">
        <v>1500</v>
      </c>
      <c r="C8" s="88">
        <v>1</v>
      </c>
      <c r="D8" s="89" t="s">
        <v>29</v>
      </c>
      <c r="E8" s="90" t="s">
        <v>30</v>
      </c>
      <c r="F8" s="80">
        <v>-500</v>
      </c>
      <c r="G8" s="80"/>
      <c r="H8" s="91">
        <v>500</v>
      </c>
      <c r="I8" s="91"/>
      <c r="J8" s="81">
        <v>-500</v>
      </c>
      <c r="K8" s="81">
        <v>0</v>
      </c>
      <c r="L8" s="48"/>
      <c r="M8" s="82">
        <f t="shared" ref="M8:N33" si="0">F8+H8+J8</f>
        <v>-500</v>
      </c>
      <c r="N8" s="106">
        <f t="shared" si="0"/>
        <v>0</v>
      </c>
      <c r="Q8" s="25">
        <v>1</v>
      </c>
      <c r="R8" s="25" t="s">
        <v>82</v>
      </c>
      <c r="S8" s="33">
        <v>-3000</v>
      </c>
      <c r="T8" s="25" t="s">
        <v>114</v>
      </c>
    </row>
    <row r="9" spans="1:23" ht="18.399999999999999" thickBot="1" x14ac:dyDescent="0.5">
      <c r="C9" s="93">
        <v>2</v>
      </c>
      <c r="D9" s="94" t="s">
        <v>194</v>
      </c>
      <c r="E9" s="95" t="s">
        <v>31</v>
      </c>
      <c r="F9" s="82">
        <v>-500</v>
      </c>
      <c r="G9" s="82"/>
      <c r="H9" s="128">
        <v>500</v>
      </c>
      <c r="I9" s="83"/>
      <c r="J9" s="84">
        <v>0</v>
      </c>
      <c r="K9" s="84">
        <v>0</v>
      </c>
      <c r="L9" s="48"/>
      <c r="M9" s="82">
        <f t="shared" si="0"/>
        <v>0</v>
      </c>
      <c r="N9" s="106">
        <f t="shared" si="0"/>
        <v>0</v>
      </c>
      <c r="Q9" s="25">
        <v>2</v>
      </c>
      <c r="R9" s="25" t="s">
        <v>122</v>
      </c>
      <c r="S9" s="67">
        <v>-3620</v>
      </c>
      <c r="T9" s="25"/>
    </row>
    <row r="10" spans="1:23" ht="18.399999999999999" thickBot="1" x14ac:dyDescent="0.5">
      <c r="C10" s="93">
        <v>3</v>
      </c>
      <c r="D10" s="98" t="s">
        <v>32</v>
      </c>
      <c r="E10" s="99" t="s">
        <v>33</v>
      </c>
      <c r="F10" s="82">
        <v>-300</v>
      </c>
      <c r="G10" s="82"/>
      <c r="H10" s="128"/>
      <c r="I10" s="83"/>
      <c r="J10" s="84">
        <v>-6600</v>
      </c>
      <c r="K10" s="84">
        <v>0</v>
      </c>
      <c r="L10" s="48"/>
      <c r="M10" s="82">
        <f t="shared" si="0"/>
        <v>-6900</v>
      </c>
      <c r="N10" s="106">
        <f t="shared" si="0"/>
        <v>0</v>
      </c>
      <c r="Q10" s="25">
        <v>3</v>
      </c>
      <c r="R10" s="25" t="s">
        <v>84</v>
      </c>
      <c r="S10" s="67">
        <v>-3000</v>
      </c>
      <c r="T10" s="25" t="s">
        <v>114</v>
      </c>
    </row>
    <row r="11" spans="1:23" ht="18.399999999999999" thickBot="1" x14ac:dyDescent="0.5">
      <c r="A11">
        <v>500</v>
      </c>
      <c r="C11" s="93">
        <v>4</v>
      </c>
      <c r="D11" s="98" t="s">
        <v>34</v>
      </c>
      <c r="E11" s="99" t="s">
        <v>35</v>
      </c>
      <c r="F11" s="82">
        <v>-500</v>
      </c>
      <c r="G11" s="82"/>
      <c r="H11" s="128">
        <v>500</v>
      </c>
      <c r="I11" s="83"/>
      <c r="J11" s="84">
        <v>0</v>
      </c>
      <c r="K11" s="84">
        <v>0</v>
      </c>
      <c r="L11" s="48"/>
      <c r="M11" s="82">
        <f t="shared" si="0"/>
        <v>0</v>
      </c>
      <c r="N11" s="106">
        <f t="shared" si="0"/>
        <v>0</v>
      </c>
      <c r="Q11" s="25">
        <v>4</v>
      </c>
      <c r="R11" s="25" t="s">
        <v>85</v>
      </c>
      <c r="S11" s="67">
        <v>-300</v>
      </c>
      <c r="T11" s="25"/>
    </row>
    <row r="12" spans="1:23" ht="18.399999999999999" thickBot="1" x14ac:dyDescent="0.5">
      <c r="A12">
        <v>600</v>
      </c>
      <c r="C12" s="93">
        <v>5</v>
      </c>
      <c r="D12" s="98" t="s">
        <v>36</v>
      </c>
      <c r="E12" s="99" t="s">
        <v>37</v>
      </c>
      <c r="F12" s="82">
        <v>-500</v>
      </c>
      <c r="G12" s="82">
        <v>-100</v>
      </c>
      <c r="H12" s="128">
        <v>500</v>
      </c>
      <c r="I12" s="83">
        <v>100</v>
      </c>
      <c r="J12" s="84">
        <v>0</v>
      </c>
      <c r="K12" s="84">
        <v>0</v>
      </c>
      <c r="L12" s="48"/>
      <c r="M12" s="82">
        <f t="shared" si="0"/>
        <v>0</v>
      </c>
      <c r="N12" s="82">
        <f t="shared" si="0"/>
        <v>0</v>
      </c>
      <c r="Q12" s="25">
        <v>5</v>
      </c>
      <c r="R12" s="25" t="s">
        <v>86</v>
      </c>
      <c r="S12" s="67">
        <v>-400</v>
      </c>
      <c r="T12" s="25" t="s">
        <v>116</v>
      </c>
    </row>
    <row r="13" spans="1:23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>
        <v>-500</v>
      </c>
      <c r="G13" s="82">
        <v>-100</v>
      </c>
      <c r="H13" s="128">
        <v>500</v>
      </c>
      <c r="I13" s="83">
        <v>100</v>
      </c>
      <c r="J13" s="84">
        <v>0</v>
      </c>
      <c r="K13" s="84">
        <v>0</v>
      </c>
      <c r="L13" s="48"/>
      <c r="M13" s="82">
        <f t="shared" si="0"/>
        <v>0</v>
      </c>
      <c r="N13" s="82">
        <f t="shared" si="0"/>
        <v>0</v>
      </c>
      <c r="Q13" s="25">
        <v>6</v>
      </c>
      <c r="R13" s="25" t="s">
        <v>126</v>
      </c>
      <c r="S13" s="67">
        <v>-500</v>
      </c>
      <c r="T13" s="25" t="s">
        <v>114</v>
      </c>
    </row>
    <row r="14" spans="1:23" ht="18.399999999999999" thickBot="1" x14ac:dyDescent="0.5">
      <c r="C14" s="93">
        <v>7</v>
      </c>
      <c r="D14" s="98" t="s">
        <v>40</v>
      </c>
      <c r="E14" s="99" t="s">
        <v>41</v>
      </c>
      <c r="F14" s="82">
        <v>-300</v>
      </c>
      <c r="G14" s="82"/>
      <c r="H14" s="128">
        <v>4200</v>
      </c>
      <c r="I14" s="83"/>
      <c r="J14" s="84">
        <v>-3900</v>
      </c>
      <c r="K14" s="84">
        <v>0</v>
      </c>
      <c r="L14" s="48"/>
      <c r="M14" s="82">
        <f t="shared" si="0"/>
        <v>0</v>
      </c>
      <c r="N14" s="82">
        <f t="shared" si="0"/>
        <v>0</v>
      </c>
      <c r="Q14" s="25">
        <v>7</v>
      </c>
      <c r="R14" s="25" t="s">
        <v>165</v>
      </c>
      <c r="S14" s="67">
        <v>-1500</v>
      </c>
      <c r="T14" s="25" t="s">
        <v>114</v>
      </c>
    </row>
    <row r="15" spans="1:23" ht="18.399999999999999" thickBot="1" x14ac:dyDescent="0.5">
      <c r="C15" s="100">
        <v>8</v>
      </c>
      <c r="D15" s="98" t="s">
        <v>42</v>
      </c>
      <c r="E15" s="98" t="s">
        <v>43</v>
      </c>
      <c r="F15" s="82">
        <v>-300</v>
      </c>
      <c r="G15" s="82"/>
      <c r="H15" s="128">
        <v>300</v>
      </c>
      <c r="I15" s="83"/>
      <c r="J15" s="84">
        <v>0</v>
      </c>
      <c r="K15" s="84">
        <v>0</v>
      </c>
      <c r="L15" s="48"/>
      <c r="M15" s="82">
        <f t="shared" si="0"/>
        <v>0</v>
      </c>
      <c r="N15" s="82">
        <f t="shared" si="0"/>
        <v>0</v>
      </c>
      <c r="Q15" s="25">
        <v>8</v>
      </c>
      <c r="R15" s="25" t="s">
        <v>241</v>
      </c>
      <c r="S15" s="67">
        <v>-700</v>
      </c>
      <c r="T15" s="25"/>
    </row>
    <row r="16" spans="1:23" ht="18.399999999999999" thickBot="1" x14ac:dyDescent="0.5">
      <c r="C16" s="100">
        <v>9</v>
      </c>
      <c r="D16" s="98" t="s">
        <v>44</v>
      </c>
      <c r="E16" s="98" t="s">
        <v>45</v>
      </c>
      <c r="F16" s="82">
        <v>-500</v>
      </c>
      <c r="G16" s="82"/>
      <c r="H16" s="128">
        <v>500</v>
      </c>
      <c r="I16" s="83"/>
      <c r="J16" s="84">
        <v>0</v>
      </c>
      <c r="K16" s="84">
        <v>0</v>
      </c>
      <c r="L16" s="48"/>
      <c r="M16" s="82">
        <f t="shared" si="0"/>
        <v>0</v>
      </c>
      <c r="N16" s="82">
        <f t="shared" si="0"/>
        <v>0</v>
      </c>
      <c r="Q16" s="25">
        <v>9</v>
      </c>
      <c r="R16" s="25" t="s">
        <v>242</v>
      </c>
      <c r="S16" s="67">
        <v>-1335</v>
      </c>
      <c r="T16" s="25"/>
      <c r="W16" s="31">
        <f>13400-H35-I35</f>
        <v>-1900</v>
      </c>
    </row>
    <row r="17" spans="1:25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>
        <v>-500</v>
      </c>
      <c r="G17" s="82">
        <v>-100</v>
      </c>
      <c r="H17" s="128"/>
      <c r="I17" s="83"/>
      <c r="J17" s="84">
        <v>0</v>
      </c>
      <c r="K17" s="84">
        <v>0</v>
      </c>
      <c r="L17" s="48"/>
      <c r="M17" s="82">
        <f t="shared" si="0"/>
        <v>-500</v>
      </c>
      <c r="N17" s="82">
        <f t="shared" si="0"/>
        <v>-100</v>
      </c>
      <c r="Q17" s="25">
        <v>10</v>
      </c>
      <c r="R17" s="25" t="s">
        <v>128</v>
      </c>
      <c r="S17" s="33"/>
      <c r="T17" s="25"/>
    </row>
    <row r="18" spans="1:25" ht="18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>
        <v>-500</v>
      </c>
      <c r="G18" s="82">
        <v>-100</v>
      </c>
      <c r="H18" s="128"/>
      <c r="I18" s="83"/>
      <c r="J18" s="84">
        <v>-500</v>
      </c>
      <c r="K18" s="84">
        <v>-100</v>
      </c>
      <c r="L18" s="48"/>
      <c r="M18" s="82">
        <f t="shared" si="0"/>
        <v>-1000</v>
      </c>
      <c r="N18" s="82">
        <f t="shared" si="0"/>
        <v>-200</v>
      </c>
      <c r="Q18" s="24"/>
      <c r="R18" s="24" t="s">
        <v>28</v>
      </c>
      <c r="S18" s="35">
        <f>SUM(S8:S17)</f>
        <v>-14355</v>
      </c>
      <c r="T18" s="24"/>
    </row>
    <row r="19" spans="1:25" ht="17.649999999999999" thickBot="1" x14ac:dyDescent="0.5">
      <c r="A19">
        <v>1200</v>
      </c>
      <c r="C19" s="100">
        <v>12</v>
      </c>
      <c r="D19" s="98" t="s">
        <v>50</v>
      </c>
      <c r="E19" s="98" t="s">
        <v>51</v>
      </c>
      <c r="F19" s="82">
        <v>-500</v>
      </c>
      <c r="G19" s="82">
        <v>-100</v>
      </c>
      <c r="H19" s="128">
        <v>500</v>
      </c>
      <c r="I19" s="83">
        <v>100</v>
      </c>
      <c r="J19" s="84">
        <v>0</v>
      </c>
      <c r="K19" s="84">
        <v>0</v>
      </c>
      <c r="L19" s="48"/>
      <c r="M19" s="82">
        <f t="shared" si="0"/>
        <v>0</v>
      </c>
      <c r="N19" s="82">
        <f t="shared" si="0"/>
        <v>0</v>
      </c>
    </row>
    <row r="20" spans="1:25" ht="23.65" thickBot="1" x14ac:dyDescent="0.75">
      <c r="C20" s="100">
        <v>13</v>
      </c>
      <c r="D20" s="98" t="s">
        <v>52</v>
      </c>
      <c r="E20" s="98" t="s">
        <v>53</v>
      </c>
      <c r="F20" s="82">
        <v>-500</v>
      </c>
      <c r="G20" s="82">
        <v>-100</v>
      </c>
      <c r="H20" s="128"/>
      <c r="I20" s="83"/>
      <c r="J20" s="84">
        <v>1200</v>
      </c>
      <c r="K20" s="84">
        <v>600</v>
      </c>
      <c r="L20" s="48"/>
      <c r="M20" s="82">
        <f t="shared" si="0"/>
        <v>700</v>
      </c>
      <c r="N20" s="82">
        <f t="shared" si="0"/>
        <v>500</v>
      </c>
      <c r="Q20" s="162" t="s">
        <v>117</v>
      </c>
      <c r="R20" s="163"/>
      <c r="S20" s="163"/>
    </row>
    <row r="21" spans="1:25" ht="17.649999999999999" thickBot="1" x14ac:dyDescent="0.5">
      <c r="A21">
        <v>3100</v>
      </c>
      <c r="C21" s="100">
        <v>14</v>
      </c>
      <c r="D21" s="98" t="s">
        <v>169</v>
      </c>
      <c r="E21" s="98" t="s">
        <v>55</v>
      </c>
      <c r="F21" s="82">
        <v>-500</v>
      </c>
      <c r="G21" s="82">
        <v>-100</v>
      </c>
      <c r="H21" s="128">
        <v>500</v>
      </c>
      <c r="I21" s="83">
        <v>100</v>
      </c>
      <c r="J21" s="84">
        <v>0</v>
      </c>
      <c r="K21" s="84">
        <v>0</v>
      </c>
      <c r="L21" s="48"/>
      <c r="M21" s="82">
        <f t="shared" si="0"/>
        <v>0</v>
      </c>
      <c r="N21" s="82">
        <f t="shared" si="0"/>
        <v>0</v>
      </c>
    </row>
    <row r="22" spans="1:25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>
        <v>-500</v>
      </c>
      <c r="G22" s="82">
        <v>-100</v>
      </c>
      <c r="H22" s="128">
        <v>500</v>
      </c>
      <c r="I22" s="83">
        <v>100</v>
      </c>
      <c r="J22" s="84">
        <v>0</v>
      </c>
      <c r="K22" s="84">
        <v>-1800</v>
      </c>
      <c r="L22" s="48"/>
      <c r="M22" s="82">
        <f t="shared" si="0"/>
        <v>0</v>
      </c>
      <c r="N22" s="82">
        <f t="shared" si="0"/>
        <v>-1800</v>
      </c>
      <c r="Q22" s="70" t="s">
        <v>16</v>
      </c>
      <c r="R22" s="69" t="s">
        <v>129</v>
      </c>
      <c r="S22" s="69" t="s">
        <v>17</v>
      </c>
    </row>
    <row r="23" spans="1:25" ht="25.5" customHeight="1" thickBot="1" x14ac:dyDescent="0.5">
      <c r="C23" s="100">
        <v>16</v>
      </c>
      <c r="D23" s="98" t="s">
        <v>58</v>
      </c>
      <c r="E23" s="98" t="s">
        <v>59</v>
      </c>
      <c r="F23" s="82">
        <v>-500</v>
      </c>
      <c r="G23" s="82">
        <v>-100</v>
      </c>
      <c r="H23" s="128"/>
      <c r="I23" s="83"/>
      <c r="J23" s="84">
        <v>-2000</v>
      </c>
      <c r="K23" s="84">
        <v>-400</v>
      </c>
      <c r="L23" s="48"/>
      <c r="M23" s="82">
        <f t="shared" si="0"/>
        <v>-2500</v>
      </c>
      <c r="N23" s="82">
        <f t="shared" si="0"/>
        <v>-500</v>
      </c>
      <c r="Q23" s="25">
        <v>1</v>
      </c>
      <c r="R23" s="25" t="s">
        <v>19</v>
      </c>
      <c r="S23" s="32">
        <f>Apr.!S26</f>
        <v>32721</v>
      </c>
    </row>
    <row r="24" spans="1:25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>
        <v>-500</v>
      </c>
      <c r="G24" s="82">
        <v>-100</v>
      </c>
      <c r="H24" s="83"/>
      <c r="I24" s="83"/>
      <c r="J24" s="84">
        <v>-1500</v>
      </c>
      <c r="K24" s="84">
        <v>-300</v>
      </c>
      <c r="L24" s="48"/>
      <c r="M24" s="82">
        <f t="shared" si="0"/>
        <v>-2000</v>
      </c>
      <c r="N24" s="82">
        <f t="shared" si="0"/>
        <v>-400</v>
      </c>
      <c r="Q24" s="25">
        <v>2</v>
      </c>
      <c r="R24" s="25" t="s">
        <v>119</v>
      </c>
      <c r="S24" s="32">
        <f>H35</f>
        <v>13800</v>
      </c>
    </row>
    <row r="25" spans="1:25" ht="18.399999999999999" thickBot="1" x14ac:dyDescent="0.5">
      <c r="C25" s="100">
        <v>18</v>
      </c>
      <c r="D25" s="98" t="s">
        <v>181</v>
      </c>
      <c r="E25" s="98" t="s">
        <v>63</v>
      </c>
      <c r="F25" s="82">
        <v>-300</v>
      </c>
      <c r="G25" s="82"/>
      <c r="H25" s="83"/>
      <c r="I25" s="83"/>
      <c r="J25" s="84">
        <v>-1200</v>
      </c>
      <c r="K25" s="84">
        <v>0</v>
      </c>
      <c r="L25" s="48"/>
      <c r="M25" s="82">
        <f t="shared" si="0"/>
        <v>-1500</v>
      </c>
      <c r="N25" s="82">
        <f t="shared" si="0"/>
        <v>0</v>
      </c>
      <c r="Q25" s="25">
        <v>3</v>
      </c>
      <c r="R25" s="25" t="s">
        <v>120</v>
      </c>
      <c r="S25" s="33">
        <f>S18</f>
        <v>-14355</v>
      </c>
    </row>
    <row r="26" spans="1:25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>
        <v>-500</v>
      </c>
      <c r="G26" s="82">
        <v>-100</v>
      </c>
      <c r="H26" s="83">
        <v>500</v>
      </c>
      <c r="I26" s="83">
        <v>100</v>
      </c>
      <c r="J26" s="84">
        <v>0</v>
      </c>
      <c r="K26" s="84">
        <v>0</v>
      </c>
      <c r="L26" s="48"/>
      <c r="M26" s="82">
        <f t="shared" si="0"/>
        <v>0</v>
      </c>
      <c r="N26" s="82">
        <f t="shared" si="0"/>
        <v>0</v>
      </c>
      <c r="Q26" s="155" t="s">
        <v>28</v>
      </c>
      <c r="R26" s="156"/>
      <c r="S26" s="71">
        <f>SUM(S23:S25)</f>
        <v>32166</v>
      </c>
    </row>
    <row r="27" spans="1:25" ht="17.649999999999999" thickBot="1" x14ac:dyDescent="0.5">
      <c r="A27">
        <v>3100</v>
      </c>
      <c r="C27" s="100">
        <v>20</v>
      </c>
      <c r="D27" s="98" t="s">
        <v>130</v>
      </c>
      <c r="E27" s="98" t="s">
        <v>67</v>
      </c>
      <c r="F27" s="82">
        <v>-500</v>
      </c>
      <c r="G27" s="82">
        <v>-100</v>
      </c>
      <c r="H27" s="83">
        <v>500</v>
      </c>
      <c r="I27" s="83">
        <v>100</v>
      </c>
      <c r="J27" s="84">
        <v>-500</v>
      </c>
      <c r="K27" s="84">
        <v>0</v>
      </c>
      <c r="L27" s="48"/>
      <c r="M27" s="82">
        <f t="shared" si="0"/>
        <v>-500</v>
      </c>
      <c r="N27" s="82">
        <f t="shared" si="0"/>
        <v>0</v>
      </c>
      <c r="Y27">
        <v>50000</v>
      </c>
    </row>
    <row r="28" spans="1:25" ht="22.9" thickBot="1" x14ac:dyDescent="0.5">
      <c r="C28" s="100">
        <v>21</v>
      </c>
      <c r="D28" s="98" t="s">
        <v>68</v>
      </c>
      <c r="E28" s="98" t="s">
        <v>69</v>
      </c>
      <c r="F28" s="82">
        <v>-500</v>
      </c>
      <c r="G28" s="82">
        <v>-100</v>
      </c>
      <c r="H28" s="153">
        <v>1000</v>
      </c>
      <c r="I28" s="153">
        <v>200</v>
      </c>
      <c r="J28" s="84">
        <v>-500</v>
      </c>
      <c r="K28" s="84">
        <v>-100</v>
      </c>
      <c r="L28" s="48"/>
      <c r="M28" s="82">
        <f t="shared" si="0"/>
        <v>0</v>
      </c>
      <c r="N28" s="82">
        <f t="shared" si="0"/>
        <v>0</v>
      </c>
      <c r="Q28" s="70" t="s">
        <v>16</v>
      </c>
      <c r="R28" s="69" t="s">
        <v>118</v>
      </c>
      <c r="S28" s="69" t="s">
        <v>17</v>
      </c>
      <c r="Y28">
        <v>26900</v>
      </c>
    </row>
    <row r="29" spans="1:25" ht="18.399999999999999" thickBot="1" x14ac:dyDescent="0.5">
      <c r="A29">
        <v>600</v>
      </c>
      <c r="C29" s="100">
        <v>22</v>
      </c>
      <c r="D29" s="98" t="s">
        <v>70</v>
      </c>
      <c r="E29" s="98" t="s">
        <v>71</v>
      </c>
      <c r="F29" s="82">
        <v>-500</v>
      </c>
      <c r="G29" s="82">
        <v>-100</v>
      </c>
      <c r="H29" s="83">
        <v>500</v>
      </c>
      <c r="I29" s="83">
        <v>100</v>
      </c>
      <c r="J29" s="84">
        <v>0</v>
      </c>
      <c r="K29" s="84">
        <v>0</v>
      </c>
      <c r="L29" s="48"/>
      <c r="M29" s="82">
        <f t="shared" si="0"/>
        <v>0</v>
      </c>
      <c r="N29" s="82">
        <f t="shared" si="0"/>
        <v>0</v>
      </c>
      <c r="Q29" s="25">
        <v>1</v>
      </c>
      <c r="R29" s="25" t="s">
        <v>19</v>
      </c>
      <c r="S29" s="32">
        <f>Apr.!S32</f>
        <v>40080</v>
      </c>
    </row>
    <row r="30" spans="1:25" ht="18.399999999999999" thickBot="1" x14ac:dyDescent="0.5">
      <c r="C30" s="100">
        <v>23</v>
      </c>
      <c r="D30" s="98" t="s">
        <v>72</v>
      </c>
      <c r="E30" s="98" t="s">
        <v>73</v>
      </c>
      <c r="F30" s="82">
        <v>-500</v>
      </c>
      <c r="G30" s="82">
        <v>-100</v>
      </c>
      <c r="H30" s="83">
        <v>500</v>
      </c>
      <c r="I30" s="83">
        <v>100</v>
      </c>
      <c r="J30" s="84">
        <v>0</v>
      </c>
      <c r="K30" s="84">
        <v>0</v>
      </c>
      <c r="L30" s="48"/>
      <c r="M30" s="82">
        <f t="shared" si="0"/>
        <v>0</v>
      </c>
      <c r="N30" s="82">
        <f t="shared" si="0"/>
        <v>0</v>
      </c>
      <c r="Q30" s="25">
        <v>2</v>
      </c>
      <c r="R30" s="25" t="s">
        <v>119</v>
      </c>
      <c r="S30" s="32">
        <f>I35</f>
        <v>1500</v>
      </c>
    </row>
    <row r="31" spans="1:25" ht="18.399999999999999" thickBot="1" x14ac:dyDescent="0.5">
      <c r="A31">
        <v>1800</v>
      </c>
      <c r="C31" s="100">
        <v>24</v>
      </c>
      <c r="D31" s="98" t="s">
        <v>74</v>
      </c>
      <c r="E31" s="98" t="s">
        <v>75</v>
      </c>
      <c r="F31" s="82">
        <v>-500</v>
      </c>
      <c r="G31" s="82">
        <v>-100</v>
      </c>
      <c r="H31" s="83">
        <v>1000</v>
      </c>
      <c r="I31" s="83">
        <v>200</v>
      </c>
      <c r="J31" s="84">
        <v>-500</v>
      </c>
      <c r="K31" s="84">
        <v>-100</v>
      </c>
      <c r="L31" s="48"/>
      <c r="M31" s="82">
        <f t="shared" si="0"/>
        <v>0</v>
      </c>
      <c r="N31" s="82">
        <f t="shared" si="0"/>
        <v>0</v>
      </c>
      <c r="Q31" s="25">
        <v>3</v>
      </c>
      <c r="R31" s="25" t="s">
        <v>120</v>
      </c>
      <c r="S31" s="33">
        <f>-500-300-900</f>
        <v>-1700</v>
      </c>
    </row>
    <row r="32" spans="1:25" ht="22.9" thickBot="1" x14ac:dyDescent="0.5">
      <c r="A32" s="66">
        <v>2000</v>
      </c>
      <c r="C32" s="93">
        <v>25</v>
      </c>
      <c r="D32" s="98" t="s">
        <v>76</v>
      </c>
      <c r="E32" s="101" t="s">
        <v>77</v>
      </c>
      <c r="F32" s="82">
        <v>-500</v>
      </c>
      <c r="G32" s="82">
        <v>-100</v>
      </c>
      <c r="H32" s="83">
        <v>500</v>
      </c>
      <c r="I32" s="83">
        <v>100</v>
      </c>
      <c r="J32" s="84">
        <v>0</v>
      </c>
      <c r="K32" s="84">
        <v>0</v>
      </c>
      <c r="L32" s="48"/>
      <c r="M32" s="82">
        <f t="shared" si="0"/>
        <v>0</v>
      </c>
      <c r="N32" s="82">
        <f t="shared" si="0"/>
        <v>0</v>
      </c>
      <c r="Q32" s="155" t="s">
        <v>28</v>
      </c>
      <c r="R32" s="156"/>
      <c r="S32" s="71">
        <f>SUM(S29:S31)</f>
        <v>39880</v>
      </c>
    </row>
    <row r="33" spans="1:27" ht="18.399999999999999" thickBot="1" x14ac:dyDescent="0.5">
      <c r="A33">
        <v>400</v>
      </c>
      <c r="C33" s="102">
        <v>26</v>
      </c>
      <c r="D33" s="103" t="s">
        <v>78</v>
      </c>
      <c r="E33" s="104" t="s">
        <v>79</v>
      </c>
      <c r="F33" s="85">
        <v>-300</v>
      </c>
      <c r="G33" s="85">
        <v>-100</v>
      </c>
      <c r="H33" s="86">
        <v>300</v>
      </c>
      <c r="I33" s="86">
        <v>100</v>
      </c>
      <c r="J33" s="87">
        <v>0</v>
      </c>
      <c r="K33" s="87">
        <v>0</v>
      </c>
      <c r="L33" s="48"/>
      <c r="M33" s="82">
        <f t="shared" si="0"/>
        <v>0</v>
      </c>
      <c r="N33" s="82">
        <f t="shared" si="0"/>
        <v>0</v>
      </c>
      <c r="X33" s="63">
        <f>-S31-S18</f>
        <v>16055</v>
      </c>
    </row>
    <row r="34" spans="1:27" ht="5.0999999999999996" customHeight="1" thickTop="1" thickBot="1" x14ac:dyDescent="0.5">
      <c r="B34">
        <f>A34-Apr.!A34</f>
        <v>0</v>
      </c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7" ht="23.65" thickBot="1" x14ac:dyDescent="0.5">
      <c r="A35" s="31">
        <f>A40+S43</f>
        <v>73678</v>
      </c>
      <c r="C35" s="157" t="s">
        <v>80</v>
      </c>
      <c r="D35" s="158"/>
      <c r="E35" s="159"/>
      <c r="F35" s="30">
        <f>SUM(F8:F33)</f>
        <v>-12000</v>
      </c>
      <c r="G35" s="30">
        <f t="shared" ref="G35:K35" si="1">SUM(G8:G33)</f>
        <v>-1800</v>
      </c>
      <c r="H35" s="30">
        <f t="shared" si="1"/>
        <v>13800</v>
      </c>
      <c r="I35" s="30">
        <f t="shared" si="1"/>
        <v>1500</v>
      </c>
      <c r="J35" s="30">
        <f t="shared" si="1"/>
        <v>-16500</v>
      </c>
      <c r="K35" s="30">
        <f t="shared" si="1"/>
        <v>-2200</v>
      </c>
      <c r="M35" s="30">
        <f>SUM(M8:M33)</f>
        <v>-14700</v>
      </c>
      <c r="N35" s="30">
        <f>SUM(N8:N33)</f>
        <v>-2500</v>
      </c>
      <c r="Q35" s="160" t="s">
        <v>121</v>
      </c>
      <c r="R35" s="161"/>
      <c r="S35" s="71">
        <f>S32+S26</f>
        <v>72046</v>
      </c>
    </row>
    <row r="36" spans="1:27" x14ac:dyDescent="0.45">
      <c r="AA36" s="129">
        <f>S43-20000</f>
        <v>25578</v>
      </c>
    </row>
    <row r="37" spans="1:27" x14ac:dyDescent="0.45">
      <c r="A37">
        <f>A40-Apr.!A36</f>
        <v>16300</v>
      </c>
      <c r="F37" s="31">
        <f>F35+H35</f>
        <v>1800</v>
      </c>
      <c r="R37">
        <v>24180</v>
      </c>
      <c r="S37" s="36">
        <f>S35+S43+S44</f>
        <v>144092</v>
      </c>
      <c r="AA37">
        <v>76900</v>
      </c>
    </row>
    <row r="38" spans="1:27" ht="18" x14ac:dyDescent="0.45">
      <c r="A38">
        <f>-A17+A37</f>
        <v>10500</v>
      </c>
      <c r="I38" s="31">
        <v>50000</v>
      </c>
      <c r="S38" s="32">
        <f>S26</f>
        <v>32166</v>
      </c>
    </row>
    <row r="39" spans="1:27" ht="18" x14ac:dyDescent="0.45">
      <c r="D39">
        <f>-A40</f>
        <v>-28100</v>
      </c>
      <c r="I39" s="31">
        <f>SUM(A8:A33)</f>
        <v>28100</v>
      </c>
      <c r="S39" s="32">
        <f>S32</f>
        <v>39880</v>
      </c>
      <c r="W39">
        <f>Apr.!S44</f>
        <v>39023</v>
      </c>
      <c r="X39" s="129">
        <f>W39-S44</f>
        <v>12555</v>
      </c>
    </row>
    <row r="40" spans="1:27" ht="21.95" customHeight="1" x14ac:dyDescent="0.45">
      <c r="A40">
        <f>SUM(A8:A33)</f>
        <v>28100</v>
      </c>
      <c r="G40">
        <v>11800</v>
      </c>
      <c r="I40" s="31">
        <f>SUM(I38:I39)</f>
        <v>78100</v>
      </c>
      <c r="K40">
        <f>-2600-600-600-5800-3000-600-400-800-800-500-1200</f>
        <v>-16900</v>
      </c>
      <c r="X40" s="63">
        <f>X33-X39</f>
        <v>3500</v>
      </c>
    </row>
    <row r="41" spans="1:27" ht="14.65" customHeight="1" thickBot="1" x14ac:dyDescent="0.5">
      <c r="I41" t="b">
        <f>-I40=S43</f>
        <v>0</v>
      </c>
      <c r="J41" s="31">
        <f>I40+S43-20000</f>
        <v>103678</v>
      </c>
    </row>
    <row r="42" spans="1:27" ht="22.9" thickBot="1" x14ac:dyDescent="0.5">
      <c r="R42" s="69" t="s">
        <v>131</v>
      </c>
      <c r="S42" s="69" t="s">
        <v>17</v>
      </c>
    </row>
    <row r="43" spans="1:27" ht="18" x14ac:dyDescent="0.45">
      <c r="R43" s="25" t="s">
        <v>132</v>
      </c>
      <c r="S43" s="126">
        <f>Apr.!S43+500+500+1200+600+600+600+600+300+600+500+600+400+4200+600</f>
        <v>45578</v>
      </c>
      <c r="T43" s="32"/>
      <c r="V43" s="129">
        <f>S43-500</f>
        <v>45078</v>
      </c>
      <c r="W43" s="129">
        <f>V43-44778</f>
        <v>300</v>
      </c>
      <c r="X43" s="129">
        <f>S43-44778</f>
        <v>800</v>
      </c>
    </row>
    <row r="44" spans="1:27" ht="18.399999999999999" thickBot="1" x14ac:dyDescent="0.5">
      <c r="R44" s="25" t="s">
        <v>133</v>
      </c>
      <c r="S44" s="126">
        <f>Apr.!S44+1200+600+500+600+600+S25+S31</f>
        <v>26468</v>
      </c>
      <c r="T44" s="32"/>
      <c r="V44" s="129">
        <f>S44-27068</f>
        <v>-600</v>
      </c>
    </row>
    <row r="45" spans="1:27" ht="22.9" thickBot="1" x14ac:dyDescent="0.5">
      <c r="R45" s="68" t="str">
        <f>Q32</f>
        <v>الإجمالي</v>
      </c>
      <c r="S45" s="127">
        <f>SUM(S43:S44)</f>
        <v>72046</v>
      </c>
      <c r="T45" s="71"/>
      <c r="W45">
        <v>86673</v>
      </c>
    </row>
    <row r="46" spans="1:27" ht="14.65" thickBot="1" x14ac:dyDescent="0.5">
      <c r="S46" s="64"/>
    </row>
    <row r="47" spans="1:27" ht="22.9" thickBot="1" x14ac:dyDescent="0.5">
      <c r="R47" s="68" t="s">
        <v>134</v>
      </c>
      <c r="S47" s="119">
        <f>S45-S35</f>
        <v>0</v>
      </c>
      <c r="V47">
        <v>-86601</v>
      </c>
    </row>
    <row r="50" spans="19:19" x14ac:dyDescent="0.45">
      <c r="S50">
        <v>-84201</v>
      </c>
    </row>
    <row r="55" spans="19:19" x14ac:dyDescent="0.45">
      <c r="S55">
        <v>-86201</v>
      </c>
    </row>
    <row r="56" spans="19:19" x14ac:dyDescent="0.45">
      <c r="S56" s="129">
        <f>S55+S45</f>
        <v>-14155</v>
      </c>
    </row>
  </sheetData>
  <autoFilter ref="Q7:S18" xr:uid="{6355F16A-4814-4E97-8933-299AD5A8013A}"/>
  <mergeCells count="9">
    <mergeCell ref="Q32:R32"/>
    <mergeCell ref="C35:E35"/>
    <mergeCell ref="Q35:R35"/>
    <mergeCell ref="C3:N3"/>
    <mergeCell ref="Q3:T3"/>
    <mergeCell ref="C4:N4"/>
    <mergeCell ref="Q4:T4"/>
    <mergeCell ref="Q20:S20"/>
    <mergeCell ref="Q26:R26"/>
  </mergeCells>
  <pageMargins left="0.7" right="0.7" top="0.75" bottom="0.75" header="0.3" footer="0.3"/>
  <pageSetup scale="4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FC63-5B58-400A-92B5-AB1BFFB8513D}">
  <sheetPr>
    <pageSetUpPr fitToPage="1"/>
  </sheetPr>
  <dimension ref="A1:X47"/>
  <sheetViews>
    <sheetView showGridLines="0" tabSelected="1" topLeftCell="A4" zoomScale="55" zoomScaleNormal="55" workbookViewId="0">
      <selection activeCell="S44" sqref="S44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18.265625" customWidth="1"/>
    <col min="14" max="14" width="16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3" spans="1:20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Q3" s="162" t="s">
        <v>25</v>
      </c>
      <c r="R3" s="163"/>
      <c r="S3" s="163"/>
      <c r="T3" s="163"/>
    </row>
    <row r="4" spans="1:20" ht="23.25" x14ac:dyDescent="0.7">
      <c r="C4" s="162" t="s">
        <v>214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Q4" s="162" t="s">
        <v>215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/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>
        <v>-500</v>
      </c>
      <c r="G8" s="80"/>
      <c r="H8" s="183">
        <v>500</v>
      </c>
      <c r="I8" s="91"/>
      <c r="J8" s="81">
        <v>-500</v>
      </c>
      <c r="K8" s="81">
        <v>0</v>
      </c>
      <c r="L8" s="48"/>
      <c r="M8" s="97">
        <f t="shared" ref="M8:N33" si="0">F8+H8+J8</f>
        <v>-500</v>
      </c>
      <c r="N8" s="106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>
        <v>-500</v>
      </c>
      <c r="G9" s="82"/>
      <c r="H9" s="128">
        <v>500</v>
      </c>
      <c r="I9" s="83"/>
      <c r="J9" s="84">
        <v>0</v>
      </c>
      <c r="K9" s="84">
        <v>0</v>
      </c>
      <c r="L9" s="48"/>
      <c r="M9" s="97">
        <f t="shared" si="0"/>
        <v>0</v>
      </c>
      <c r="N9" s="106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>
        <v>-300</v>
      </c>
      <c r="G10" s="82"/>
      <c r="H10" s="128"/>
      <c r="I10" s="83"/>
      <c r="J10" s="84">
        <v>-6900</v>
      </c>
      <c r="K10" s="84">
        <v>0</v>
      </c>
      <c r="L10" s="48"/>
      <c r="M10" s="97">
        <f t="shared" si="0"/>
        <v>-7200</v>
      </c>
      <c r="N10" s="106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>
        <v>-500</v>
      </c>
      <c r="G11" s="82"/>
      <c r="H11" s="128">
        <v>500</v>
      </c>
      <c r="I11" s="83"/>
      <c r="J11" s="84">
        <v>0</v>
      </c>
      <c r="K11" s="84">
        <v>0</v>
      </c>
      <c r="L11" s="48"/>
      <c r="M11" s="97">
        <f t="shared" si="0"/>
        <v>0</v>
      </c>
      <c r="N11" s="106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>
        <v>-500</v>
      </c>
      <c r="G12" s="82">
        <v>-100</v>
      </c>
      <c r="H12" s="128">
        <v>500</v>
      </c>
      <c r="I12" s="83">
        <v>100</v>
      </c>
      <c r="J12" s="84">
        <v>0</v>
      </c>
      <c r="K12" s="84">
        <v>0</v>
      </c>
      <c r="L12" s="48"/>
      <c r="M12" s="97">
        <f t="shared" si="0"/>
        <v>0</v>
      </c>
      <c r="N12" s="97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>
        <v>-500</v>
      </c>
      <c r="G13" s="82">
        <v>-100</v>
      </c>
      <c r="H13" s="153">
        <v>500</v>
      </c>
      <c r="I13" s="153">
        <v>100</v>
      </c>
      <c r="J13" s="84">
        <v>0</v>
      </c>
      <c r="K13" s="84">
        <v>0</v>
      </c>
      <c r="L13" s="48"/>
      <c r="M13" s="97">
        <f t="shared" si="0"/>
        <v>0</v>
      </c>
      <c r="N13" s="97">
        <f t="shared" si="0"/>
        <v>0</v>
      </c>
      <c r="Q13" s="25">
        <v>6</v>
      </c>
      <c r="R13" s="25" t="s">
        <v>168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>
        <v>-300</v>
      </c>
      <c r="G14" s="82"/>
      <c r="H14" s="128"/>
      <c r="I14" s="83"/>
      <c r="J14" s="84">
        <v>0</v>
      </c>
      <c r="K14" s="84">
        <v>0</v>
      </c>
      <c r="L14" s="48"/>
      <c r="M14" s="97">
        <f t="shared" si="0"/>
        <v>-300</v>
      </c>
      <c r="N14" s="106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>
        <v>-300</v>
      </c>
      <c r="G15" s="82"/>
      <c r="H15" s="128"/>
      <c r="I15" s="83"/>
      <c r="J15" s="84">
        <v>0</v>
      </c>
      <c r="K15" s="84">
        <v>0</v>
      </c>
      <c r="L15" s="48"/>
      <c r="M15" s="97">
        <f t="shared" si="0"/>
        <v>-300</v>
      </c>
      <c r="N15" s="106">
        <f t="shared" si="0"/>
        <v>0</v>
      </c>
      <c r="Q15" s="25">
        <v>8</v>
      </c>
      <c r="R15" s="25" t="str">
        <f>May!R14</f>
        <v>عيدية صلاح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>
        <v>-500</v>
      </c>
      <c r="G16" s="82"/>
      <c r="H16" s="128"/>
      <c r="I16" s="83"/>
      <c r="J16" s="84">
        <v>0</v>
      </c>
      <c r="K16" s="84">
        <v>0</v>
      </c>
      <c r="L16" s="48"/>
      <c r="M16" s="97">
        <f t="shared" si="0"/>
        <v>-500</v>
      </c>
      <c r="N16" s="106">
        <f t="shared" si="0"/>
        <v>0</v>
      </c>
      <c r="Q16" s="25">
        <v>9</v>
      </c>
      <c r="R16" s="25" t="s">
        <v>170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>
        <v>-500</v>
      </c>
      <c r="G17" s="82">
        <v>-100</v>
      </c>
      <c r="H17" s="128"/>
      <c r="I17" s="83"/>
      <c r="J17" s="84">
        <v>-500</v>
      </c>
      <c r="K17" s="84">
        <v>-100</v>
      </c>
      <c r="L17" s="48"/>
      <c r="M17" s="97">
        <f t="shared" si="0"/>
        <v>-1000</v>
      </c>
      <c r="N17" s="97">
        <f t="shared" si="0"/>
        <v>-200</v>
      </c>
      <c r="Q17" s="25">
        <v>10</v>
      </c>
      <c r="R17" s="25" t="s">
        <v>171</v>
      </c>
      <c r="S17" s="33"/>
      <c r="T17" s="25"/>
    </row>
    <row r="18" spans="1:24" ht="18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>
        <v>-500</v>
      </c>
      <c r="G18" s="82">
        <v>-100</v>
      </c>
      <c r="H18" s="153">
        <v>1000</v>
      </c>
      <c r="I18" s="153">
        <v>200</v>
      </c>
      <c r="J18" s="84">
        <v>-1000</v>
      </c>
      <c r="K18" s="84">
        <v>-200</v>
      </c>
      <c r="L18" s="48"/>
      <c r="M18" s="97">
        <f t="shared" si="0"/>
        <v>-500</v>
      </c>
      <c r="N18" s="97">
        <f t="shared" si="0"/>
        <v>-100</v>
      </c>
      <c r="Q18" s="24"/>
      <c r="R18" s="24" t="s">
        <v>28</v>
      </c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>
        <v>-500</v>
      </c>
      <c r="G19" s="82">
        <v>-100</v>
      </c>
      <c r="H19" s="128">
        <v>500</v>
      </c>
      <c r="I19" s="83">
        <v>100</v>
      </c>
      <c r="J19" s="84">
        <v>0</v>
      </c>
      <c r="K19" s="84">
        <v>0</v>
      </c>
      <c r="L19" s="48"/>
      <c r="M19" s="97">
        <f t="shared" si="0"/>
        <v>0</v>
      </c>
      <c r="N19" s="97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>
        <v>-500</v>
      </c>
      <c r="G20" s="82">
        <v>-100</v>
      </c>
      <c r="H20" s="128"/>
      <c r="I20" s="83"/>
      <c r="J20" s="84">
        <v>700</v>
      </c>
      <c r="K20" s="84">
        <v>500</v>
      </c>
      <c r="L20" s="48"/>
      <c r="M20" s="97">
        <f t="shared" si="0"/>
        <v>200</v>
      </c>
      <c r="N20" s="97">
        <f t="shared" si="0"/>
        <v>400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>
        <v>-500</v>
      </c>
      <c r="G21" s="82">
        <v>-100</v>
      </c>
      <c r="H21" s="128"/>
      <c r="I21" s="83"/>
      <c r="J21" s="84">
        <v>0</v>
      </c>
      <c r="K21" s="84">
        <v>0</v>
      </c>
      <c r="L21" s="48"/>
      <c r="M21" s="97">
        <f t="shared" si="0"/>
        <v>-500</v>
      </c>
      <c r="N21" s="97">
        <f t="shared" si="0"/>
        <v>-100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>
        <v>-500</v>
      </c>
      <c r="G22" s="82">
        <v>-100</v>
      </c>
      <c r="H22" s="128"/>
      <c r="I22" s="83"/>
      <c r="J22" s="84">
        <v>0</v>
      </c>
      <c r="K22" s="84">
        <v>-1800</v>
      </c>
      <c r="L22" s="48"/>
      <c r="M22" s="97">
        <f t="shared" si="0"/>
        <v>-500</v>
      </c>
      <c r="N22" s="97">
        <f t="shared" si="0"/>
        <v>-1900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>
        <v>-500</v>
      </c>
      <c r="G23" s="82">
        <v>-100</v>
      </c>
      <c r="H23" s="128"/>
      <c r="I23" s="83"/>
      <c r="J23" s="84">
        <v>-2500</v>
      </c>
      <c r="K23" s="84">
        <v>-500</v>
      </c>
      <c r="L23" s="48"/>
      <c r="M23" s="97">
        <f t="shared" si="0"/>
        <v>-3000</v>
      </c>
      <c r="N23" s="97">
        <f t="shared" si="0"/>
        <v>-600</v>
      </c>
      <c r="Q23" s="25">
        <v>1</v>
      </c>
      <c r="R23" s="25" t="s">
        <v>19</v>
      </c>
      <c r="S23" s="32">
        <f>May!S26</f>
        <v>32166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>
        <v>-500</v>
      </c>
      <c r="G24" s="82">
        <v>-100</v>
      </c>
      <c r="H24" s="83"/>
      <c r="I24" s="83"/>
      <c r="J24" s="84">
        <v>-2000</v>
      </c>
      <c r="K24" s="84">
        <v>-400</v>
      </c>
      <c r="L24" s="48"/>
      <c r="M24" s="97">
        <f t="shared" si="0"/>
        <v>-2500</v>
      </c>
      <c r="N24" s="97">
        <f t="shared" si="0"/>
        <v>-500</v>
      </c>
      <c r="Q24" s="25">
        <v>2</v>
      </c>
      <c r="R24" s="25" t="s">
        <v>119</v>
      </c>
      <c r="S24" s="32">
        <f>H35</f>
        <v>6000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>
        <v>-300</v>
      </c>
      <c r="G25" s="82"/>
      <c r="H25" s="83"/>
      <c r="I25" s="83"/>
      <c r="J25" s="84">
        <v>-1500</v>
      </c>
      <c r="K25" s="84">
        <v>0</v>
      </c>
      <c r="L25" s="48"/>
      <c r="M25" s="97">
        <f t="shared" si="0"/>
        <v>-1800</v>
      </c>
      <c r="N25" s="106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>
        <v>-500</v>
      </c>
      <c r="G26" s="82">
        <v>-100</v>
      </c>
      <c r="H26" s="83">
        <v>500</v>
      </c>
      <c r="I26" s="83">
        <v>100</v>
      </c>
      <c r="J26" s="84">
        <v>0</v>
      </c>
      <c r="K26" s="84">
        <v>0</v>
      </c>
      <c r="L26" s="48"/>
      <c r="M26" s="97">
        <f t="shared" si="0"/>
        <v>0</v>
      </c>
      <c r="N26" s="97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>
        <v>-500</v>
      </c>
      <c r="G27" s="82">
        <v>-100</v>
      </c>
      <c r="H27" s="83"/>
      <c r="I27" s="83"/>
      <c r="J27" s="84">
        <v>-500</v>
      </c>
      <c r="K27" s="84">
        <v>0</v>
      </c>
      <c r="L27" s="48"/>
      <c r="M27" s="97">
        <f t="shared" si="0"/>
        <v>-1000</v>
      </c>
      <c r="N27" s="97">
        <f t="shared" si="0"/>
        <v>-100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>
        <v>-500</v>
      </c>
      <c r="G28" s="82">
        <v>-100</v>
      </c>
      <c r="H28" s="83"/>
      <c r="I28" s="83"/>
      <c r="J28" s="84">
        <v>0</v>
      </c>
      <c r="K28" s="84">
        <v>0</v>
      </c>
      <c r="L28" s="48"/>
      <c r="M28" s="97">
        <f t="shared" si="0"/>
        <v>-500</v>
      </c>
      <c r="N28" s="97">
        <f t="shared" si="0"/>
        <v>-100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>
        <v>-500</v>
      </c>
      <c r="G29" s="82">
        <v>-100</v>
      </c>
      <c r="H29" s="83">
        <v>500</v>
      </c>
      <c r="I29" s="83">
        <v>100</v>
      </c>
      <c r="J29" s="84">
        <v>0</v>
      </c>
      <c r="K29" s="84">
        <v>0</v>
      </c>
      <c r="L29" s="48"/>
      <c r="M29" s="97">
        <f t="shared" si="0"/>
        <v>0</v>
      </c>
      <c r="N29" s="97">
        <f t="shared" si="0"/>
        <v>0</v>
      </c>
      <c r="Q29" s="25">
        <v>1</v>
      </c>
      <c r="R29" s="25" t="s">
        <v>19</v>
      </c>
      <c r="S29" s="32">
        <f>May!S32</f>
        <v>39880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>
        <v>-500</v>
      </c>
      <c r="G30" s="82">
        <v>-100</v>
      </c>
      <c r="H30" s="83">
        <v>500</v>
      </c>
      <c r="I30" s="83">
        <v>100</v>
      </c>
      <c r="J30" s="84">
        <v>0</v>
      </c>
      <c r="K30" s="84">
        <v>0</v>
      </c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900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>
        <v>-500</v>
      </c>
      <c r="G31" s="82">
        <v>-100</v>
      </c>
      <c r="H31" s="83"/>
      <c r="I31" s="83"/>
      <c r="J31" s="84">
        <v>0</v>
      </c>
      <c r="K31" s="84">
        <v>0</v>
      </c>
      <c r="L31" s="48"/>
      <c r="M31" s="97">
        <f t="shared" si="0"/>
        <v>-500</v>
      </c>
      <c r="N31" s="97">
        <f t="shared" si="0"/>
        <v>-100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>
        <v>-500</v>
      </c>
      <c r="G32" s="82">
        <v>-100</v>
      </c>
      <c r="H32" s="83">
        <v>500</v>
      </c>
      <c r="I32" s="83">
        <v>100</v>
      </c>
      <c r="J32" s="84">
        <v>0</v>
      </c>
      <c r="K32" s="84">
        <v>0</v>
      </c>
      <c r="L32" s="48"/>
      <c r="M32" s="97">
        <f t="shared" si="0"/>
        <v>0</v>
      </c>
      <c r="N32" s="97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>
        <v>-300</v>
      </c>
      <c r="G33" s="85">
        <v>-100</v>
      </c>
      <c r="H33" s="86"/>
      <c r="I33" s="86"/>
      <c r="J33" s="87">
        <v>0</v>
      </c>
      <c r="K33" s="87">
        <v>0</v>
      </c>
      <c r="L33" s="48"/>
      <c r="M33" s="97">
        <f t="shared" si="0"/>
        <v>-300</v>
      </c>
      <c r="N33" s="97">
        <f t="shared" si="0"/>
        <v>-100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-12000</v>
      </c>
      <c r="G35" s="30">
        <f t="shared" ref="G35:K35" si="1">SUM(G8:G33)</f>
        <v>-1800</v>
      </c>
      <c r="H35" s="30">
        <f t="shared" si="1"/>
        <v>6000</v>
      </c>
      <c r="I35" s="30">
        <f t="shared" si="1"/>
        <v>900</v>
      </c>
      <c r="J35" s="30">
        <f t="shared" si="1"/>
        <v>-14700</v>
      </c>
      <c r="K35" s="30">
        <f t="shared" si="1"/>
        <v>-2500</v>
      </c>
      <c r="M35" s="30">
        <f>SUM(M8:M33)</f>
        <v>-20700</v>
      </c>
      <c r="N35" s="30">
        <f>SUM(N8:N33)</f>
        <v>-3400</v>
      </c>
      <c r="Q35" s="160" t="s">
        <v>121</v>
      </c>
      <c r="R35" s="161"/>
      <c r="S35" s="71">
        <f>S32+S26</f>
        <v>78946</v>
      </c>
    </row>
    <row r="37" spans="1:23" x14ac:dyDescent="0.45">
      <c r="A37">
        <f>A40-Apr.!A36</f>
        <v>21300</v>
      </c>
      <c r="F37" s="31">
        <f>F35+H35</f>
        <v>-6000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I38" s="31">
        <v>50000</v>
      </c>
      <c r="S38" s="32">
        <f>S26</f>
        <v>38166</v>
      </c>
    </row>
    <row r="39" spans="1:23" ht="18" x14ac:dyDescent="0.45">
      <c r="D39">
        <f>-A40</f>
        <v>-33100</v>
      </c>
      <c r="I39" s="31">
        <f>SUM(A8:A33)</f>
        <v>33100</v>
      </c>
      <c r="S39" s="32">
        <f>S32</f>
        <v>40780</v>
      </c>
    </row>
    <row r="40" spans="1:23" ht="21.95" customHeight="1" x14ac:dyDescent="0.45">
      <c r="A40">
        <f>SUM(A8:A33)</f>
        <v>33100</v>
      </c>
      <c r="G40">
        <v>11800</v>
      </c>
      <c r="I40" s="31">
        <f>SUM(I38:I39)</f>
        <v>83100</v>
      </c>
      <c r="K40">
        <f>-2600-600-600-5800-3000-600-400-800-800-500-1200</f>
        <v>-16900</v>
      </c>
    </row>
    <row r="41" spans="1:23" ht="14.65" customHeight="1" thickBot="1" x14ac:dyDescent="0.5">
      <c r="I41">
        <v>-20000</v>
      </c>
    </row>
    <row r="42" spans="1:23" ht="22.9" thickBot="1" x14ac:dyDescent="0.5">
      <c r="I42" s="31">
        <f>SUM(I40:I41)+S43</f>
        <v>115578</v>
      </c>
      <c r="R42" s="69" t="s">
        <v>131</v>
      </c>
      <c r="S42" s="69" t="s">
        <v>17</v>
      </c>
    </row>
    <row r="43" spans="1:23" ht="18" x14ac:dyDescent="0.45">
      <c r="R43" s="25" t="s">
        <v>132</v>
      </c>
      <c r="S43" s="126">
        <f>May!S43+500+500+600+600+600+600+500+1200+600+600+600</f>
        <v>52478</v>
      </c>
      <c r="T43" s="32"/>
    </row>
    <row r="44" spans="1:23" ht="18.399999999999999" thickBot="1" x14ac:dyDescent="0.5">
      <c r="R44" s="25" t="s">
        <v>133</v>
      </c>
      <c r="S44" s="126">
        <f>May!S44</f>
        <v>26468</v>
      </c>
      <c r="T44" s="32"/>
    </row>
    <row r="45" spans="1:23" ht="22.9" thickBot="1" x14ac:dyDescent="0.5">
      <c r="R45" s="68" t="str">
        <f>Q32</f>
        <v>الإجمالي</v>
      </c>
      <c r="S45" s="127">
        <f>SUM(S43:S44)</f>
        <v>78946</v>
      </c>
      <c r="T45" s="71"/>
      <c r="W45">
        <v>86673</v>
      </c>
    </row>
    <row r="46" spans="1:23" ht="14.65" thickBot="1" x14ac:dyDescent="0.5">
      <c r="N46">
        <f>-56900-1200-1000-500-1000-2600-600-600-5800-3000-400-800-800-500-1200-1400+20000</f>
        <v>-58300</v>
      </c>
      <c r="S46" s="64"/>
    </row>
    <row r="47" spans="1:23" ht="22.9" thickBot="1" x14ac:dyDescent="0.5">
      <c r="R47" s="68" t="s">
        <v>134</v>
      </c>
      <c r="S47" s="119">
        <f>S45-S35</f>
        <v>0</v>
      </c>
    </row>
  </sheetData>
  <autoFilter ref="Q7:S18" xr:uid="{6355F16A-4814-4E97-8933-299AD5A8013A}"/>
  <mergeCells count="9">
    <mergeCell ref="Q32:R32"/>
    <mergeCell ref="C35:E35"/>
    <mergeCell ref="Q35:R35"/>
    <mergeCell ref="C3:N3"/>
    <mergeCell ref="Q3:T3"/>
    <mergeCell ref="C4:N4"/>
    <mergeCell ref="Q4:T4"/>
    <mergeCell ref="Q20:S20"/>
    <mergeCell ref="Q26:R26"/>
  </mergeCells>
  <pageMargins left="0.7" right="0.7" top="0.75" bottom="0.75" header="0.3" footer="0.3"/>
  <pageSetup scale="4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CF24-9921-42B2-BC49-5868845B453C}">
  <sheetPr>
    <pageSetUpPr fitToPage="1"/>
  </sheetPr>
  <dimension ref="A1:X48"/>
  <sheetViews>
    <sheetView showGridLines="0" topLeftCell="A2" zoomScale="55" zoomScaleNormal="55" workbookViewId="0">
      <selection activeCell="D8" sqref="D8:D33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18.265625" customWidth="1"/>
    <col min="14" max="14" width="16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3" spans="1:20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Q3" s="162" t="s">
        <v>25</v>
      </c>
      <c r="R3" s="163"/>
      <c r="S3" s="163"/>
      <c r="T3" s="163"/>
    </row>
    <row r="4" spans="1:20" ht="23.25" x14ac:dyDescent="0.7">
      <c r="C4" s="162" t="s">
        <v>216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Q4" s="162" t="s">
        <v>217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/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91"/>
      <c r="I8" s="91"/>
      <c r="J8" s="81"/>
      <c r="K8" s="81"/>
      <c r="L8" s="48"/>
      <c r="M8" s="97">
        <f t="shared" ref="M8:N33" si="0">F8+H8+J8</f>
        <v>0</v>
      </c>
      <c r="N8" s="106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83"/>
      <c r="J9" s="84"/>
      <c r="K9" s="84"/>
      <c r="L9" s="48"/>
      <c r="M9" s="97">
        <f t="shared" si="0"/>
        <v>0</v>
      </c>
      <c r="N9" s="106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128"/>
      <c r="I10" s="83"/>
      <c r="J10" s="84"/>
      <c r="K10" s="84"/>
      <c r="L10" s="48"/>
      <c r="M10" s="97">
        <f t="shared" si="0"/>
        <v>0</v>
      </c>
      <c r="N10" s="106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128"/>
      <c r="I11" s="83"/>
      <c r="J11" s="84"/>
      <c r="K11" s="84"/>
      <c r="L11" s="48"/>
      <c r="M11" s="106">
        <f t="shared" si="0"/>
        <v>0</v>
      </c>
      <c r="N11" s="106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128"/>
      <c r="I12" s="83"/>
      <c r="J12" s="84"/>
      <c r="K12" s="84"/>
      <c r="L12" s="48"/>
      <c r="M12" s="106">
        <f t="shared" si="0"/>
        <v>0</v>
      </c>
      <c r="N12" s="106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128"/>
      <c r="I13" s="83"/>
      <c r="J13" s="84"/>
      <c r="K13" s="84"/>
      <c r="L13" s="48"/>
      <c r="M13" s="106">
        <f t="shared" si="0"/>
        <v>0</v>
      </c>
      <c r="N13" s="106">
        <f t="shared" si="0"/>
        <v>0</v>
      </c>
      <c r="Q13" s="25">
        <v>6</v>
      </c>
      <c r="R13" s="25" t="s">
        <v>126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128"/>
      <c r="I14" s="83"/>
      <c r="J14" s="84"/>
      <c r="K14" s="84"/>
      <c r="L14" s="48"/>
      <c r="M14" s="97">
        <f t="shared" si="0"/>
        <v>0</v>
      </c>
      <c r="N14" s="106">
        <f t="shared" si="0"/>
        <v>0</v>
      </c>
      <c r="Q14" s="25">
        <v>7</v>
      </c>
      <c r="R14" s="25" t="s">
        <v>173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128"/>
      <c r="I15" s="83"/>
      <c r="J15" s="84"/>
      <c r="K15" s="84"/>
      <c r="L15" s="48"/>
      <c r="M15" s="97">
        <f t="shared" si="0"/>
        <v>0</v>
      </c>
      <c r="N15" s="106">
        <f t="shared" si="0"/>
        <v>0</v>
      </c>
      <c r="Q15" s="25">
        <v>8</v>
      </c>
      <c r="R15" s="25" t="s">
        <v>170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128"/>
      <c r="I16" s="83"/>
      <c r="J16" s="84"/>
      <c r="K16" s="84"/>
      <c r="L16" s="48"/>
      <c r="M16" s="106">
        <f t="shared" si="0"/>
        <v>0</v>
      </c>
      <c r="N16" s="106">
        <f t="shared" si="0"/>
        <v>0</v>
      </c>
      <c r="Q16" s="25">
        <v>9</v>
      </c>
      <c r="R16" s="25" t="s">
        <v>171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128"/>
      <c r="I17" s="83"/>
      <c r="J17" s="84"/>
      <c r="K17" s="84"/>
      <c r="L17" s="48"/>
      <c r="M17" s="106">
        <f t="shared" si="0"/>
        <v>0</v>
      </c>
      <c r="N17" s="106">
        <f t="shared" si="0"/>
        <v>0</v>
      </c>
      <c r="Q17" s="25">
        <v>10</v>
      </c>
      <c r="R17" s="25" t="s">
        <v>174</v>
      </c>
      <c r="S17" s="33"/>
      <c r="T17" s="25"/>
    </row>
    <row r="18" spans="1:24" ht="18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128"/>
      <c r="I18" s="83"/>
      <c r="J18" s="84"/>
      <c r="K18" s="84"/>
      <c r="L18" s="48"/>
      <c r="M18" s="106">
        <f t="shared" si="0"/>
        <v>0</v>
      </c>
      <c r="N18" s="106">
        <f t="shared" si="0"/>
        <v>0</v>
      </c>
      <c r="Q18" s="24"/>
      <c r="R18" s="24" t="s">
        <v>28</v>
      </c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128"/>
      <c r="I19" s="83"/>
      <c r="J19" s="84"/>
      <c r="K19" s="84"/>
      <c r="L19" s="48"/>
      <c r="M19" s="106">
        <f t="shared" si="0"/>
        <v>0</v>
      </c>
      <c r="N19" s="106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/>
      <c r="G20" s="82"/>
      <c r="H20" s="128"/>
      <c r="I20" s="83"/>
      <c r="J20" s="84"/>
      <c r="K20" s="84"/>
      <c r="L20" s="48"/>
      <c r="M20" s="106">
        <f t="shared" si="0"/>
        <v>0</v>
      </c>
      <c r="N20" s="106">
        <f t="shared" si="0"/>
        <v>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128"/>
      <c r="I21" s="83"/>
      <c r="J21" s="84"/>
      <c r="K21" s="84"/>
      <c r="L21" s="48"/>
      <c r="M21" s="106">
        <f t="shared" si="0"/>
        <v>0</v>
      </c>
      <c r="N21" s="106">
        <f t="shared" si="0"/>
        <v>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128"/>
      <c r="I22" s="83"/>
      <c r="J22" s="84"/>
      <c r="K22" s="84"/>
      <c r="L22" s="48"/>
      <c r="M22" s="97">
        <f t="shared" si="0"/>
        <v>0</v>
      </c>
      <c r="N22" s="97">
        <f t="shared" si="0"/>
        <v>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128"/>
      <c r="I23" s="83"/>
      <c r="J23" s="84"/>
      <c r="K23" s="84"/>
      <c r="L23" s="48"/>
      <c r="M23" s="97">
        <f t="shared" si="0"/>
        <v>0</v>
      </c>
      <c r="N23" s="97">
        <f t="shared" si="0"/>
        <v>0</v>
      </c>
      <c r="Q23" s="25">
        <v>1</v>
      </c>
      <c r="R23" s="25" t="s">
        <v>19</v>
      </c>
      <c r="S23" s="32">
        <f>Jun!S26</f>
        <v>38166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83"/>
      <c r="I24" s="83"/>
      <c r="J24" s="84"/>
      <c r="K24" s="84"/>
      <c r="L24" s="48"/>
      <c r="M24" s="97">
        <f t="shared" si="0"/>
        <v>0</v>
      </c>
      <c r="N24" s="97">
        <f t="shared" si="0"/>
        <v>0</v>
      </c>
      <c r="Q24" s="25">
        <v>2</v>
      </c>
      <c r="R24" s="25" t="s">
        <v>119</v>
      </c>
      <c r="S24" s="32">
        <f>H35</f>
        <v>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83"/>
      <c r="I25" s="83"/>
      <c r="J25" s="84"/>
      <c r="K25" s="84"/>
      <c r="L25" s="48"/>
      <c r="M25" s="97">
        <f t="shared" si="0"/>
        <v>0</v>
      </c>
      <c r="N25" s="106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83"/>
      <c r="I26" s="83"/>
      <c r="J26" s="84"/>
      <c r="K26" s="84"/>
      <c r="L26" s="48"/>
      <c r="M26" s="106">
        <f t="shared" si="0"/>
        <v>0</v>
      </c>
      <c r="N26" s="106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83"/>
      <c r="I27" s="83"/>
      <c r="J27" s="84"/>
      <c r="K27" s="84"/>
      <c r="L27" s="48"/>
      <c r="M27" s="97">
        <f t="shared" si="0"/>
        <v>0</v>
      </c>
      <c r="N27" s="97">
        <f t="shared" si="0"/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83"/>
      <c r="I28" s="83"/>
      <c r="J28" s="84"/>
      <c r="K28" s="84"/>
      <c r="L28" s="48"/>
      <c r="M28" s="106">
        <f t="shared" si="0"/>
        <v>0</v>
      </c>
      <c r="N28" s="106">
        <f t="shared" si="0"/>
        <v>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83"/>
      <c r="I29" s="83"/>
      <c r="J29" s="84"/>
      <c r="K29" s="84"/>
      <c r="L29" s="48"/>
      <c r="M29" s="97">
        <f t="shared" si="0"/>
        <v>0</v>
      </c>
      <c r="N29" s="97">
        <f t="shared" si="0"/>
        <v>0</v>
      </c>
      <c r="Q29" s="25">
        <v>1</v>
      </c>
      <c r="R29" s="25" t="s">
        <v>19</v>
      </c>
      <c r="S29" s="32">
        <f>Jun!S32</f>
        <v>40780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83"/>
      <c r="I30" s="83"/>
      <c r="J30" s="84"/>
      <c r="K30" s="84"/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83"/>
      <c r="I31" s="83"/>
      <c r="J31" s="84"/>
      <c r="K31" s="84"/>
      <c r="L31" s="48"/>
      <c r="M31" s="97">
        <f>F31+H31+J31</f>
        <v>0</v>
      </c>
      <c r="N31" s="97">
        <f t="shared" si="0"/>
        <v>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83"/>
      <c r="I32" s="83"/>
      <c r="J32" s="84"/>
      <c r="K32" s="84"/>
      <c r="L32" s="48"/>
      <c r="M32" s="106">
        <f t="shared" si="0"/>
        <v>0</v>
      </c>
      <c r="N32" s="106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86"/>
      <c r="I33" s="86"/>
      <c r="J33" s="87"/>
      <c r="K33" s="87"/>
      <c r="L33" s="48"/>
      <c r="M33" s="97">
        <f t="shared" si="0"/>
        <v>0</v>
      </c>
      <c r="N33" s="97">
        <f t="shared" si="0"/>
        <v>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  <c r="Q35" s="160" t="s">
        <v>121</v>
      </c>
      <c r="R35" s="161"/>
      <c r="S35" s="71">
        <f>S32+S26</f>
        <v>78946</v>
      </c>
    </row>
    <row r="37" spans="1:23" ht="22.5" x14ac:dyDescent="0.45">
      <c r="A37">
        <f>A40-Apr.!A36</f>
        <v>21300</v>
      </c>
      <c r="F37" s="31"/>
      <c r="N37" s="131" t="b">
        <f>N35+M35=K35+J35+I35+H35+G35+F35</f>
        <v>1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I38" s="31">
        <v>50000</v>
      </c>
      <c r="S38" s="32">
        <f>S26</f>
        <v>38166</v>
      </c>
    </row>
    <row r="39" spans="1:23" ht="18" x14ac:dyDescent="0.45">
      <c r="D39">
        <f>-A40</f>
        <v>-33100</v>
      </c>
      <c r="I39" s="31">
        <f>SUM(A8:A33)</f>
        <v>33100</v>
      </c>
      <c r="S39" s="32">
        <f>S32</f>
        <v>40780</v>
      </c>
    </row>
    <row r="40" spans="1:23" ht="21.95" customHeight="1" x14ac:dyDescent="0.45">
      <c r="A40">
        <f>SUM(A8:A33)</f>
        <v>33100</v>
      </c>
      <c r="G40">
        <v>11800</v>
      </c>
      <c r="I40" s="31">
        <f>SUM(I38:I39)</f>
        <v>83100</v>
      </c>
      <c r="K40">
        <f>-2600-600-600-5800-3000-600-400-800-800-500-1200</f>
        <v>-16900</v>
      </c>
    </row>
    <row r="41" spans="1:23" ht="14.65" customHeight="1" thickBot="1" x14ac:dyDescent="0.5">
      <c r="I41">
        <v>-20000</v>
      </c>
    </row>
    <row r="42" spans="1:23" ht="22.9" thickBot="1" x14ac:dyDescent="0.5">
      <c r="I42" s="31">
        <f>SUM(I40:I41)+S43</f>
        <v>115578</v>
      </c>
      <c r="R42" s="69" t="s">
        <v>131</v>
      </c>
      <c r="S42" s="69" t="s">
        <v>17</v>
      </c>
    </row>
    <row r="43" spans="1:23" ht="18" x14ac:dyDescent="0.45">
      <c r="H43" t="s">
        <v>172</v>
      </c>
      <c r="R43" s="25" t="s">
        <v>132</v>
      </c>
      <c r="S43" s="126">
        <f>Jun!S43</f>
        <v>52478</v>
      </c>
      <c r="T43" s="32"/>
    </row>
    <row r="44" spans="1:23" ht="18" x14ac:dyDescent="0.45">
      <c r="R44" s="25" t="s">
        <v>133</v>
      </c>
      <c r="S44" s="126">
        <f>Jun!S44</f>
        <v>26468</v>
      </c>
      <c r="T44" s="32"/>
    </row>
    <row r="45" spans="1:23" ht="3" customHeight="1" thickBot="1" x14ac:dyDescent="0.5"/>
    <row r="46" spans="1:23" ht="22.9" thickBot="1" x14ac:dyDescent="0.5">
      <c r="R46" s="68" t="str">
        <f>Q32</f>
        <v>الإجمالي</v>
      </c>
      <c r="S46" s="127">
        <f>SUM(S43:S45)</f>
        <v>78946</v>
      </c>
      <c r="T46" s="71"/>
      <c r="W46">
        <v>86673</v>
      </c>
    </row>
    <row r="47" spans="1:23" ht="14.65" thickBot="1" x14ac:dyDescent="0.5">
      <c r="N47">
        <f>-56900-1200-1000-500-1000-2600-600-600-5800-3000-400-800-800-500-1200-1400+20000</f>
        <v>-58300</v>
      </c>
      <c r="S47" s="64"/>
    </row>
    <row r="48" spans="1:23" ht="22.9" thickBot="1" x14ac:dyDescent="0.5">
      <c r="R48" s="68" t="s">
        <v>134</v>
      </c>
      <c r="S48" s="119">
        <f>S46+S35</f>
        <v>157892</v>
      </c>
    </row>
  </sheetData>
  <autoFilter ref="Q7:S18" xr:uid="{6355F16A-4814-4E97-8933-299AD5A8013A}"/>
  <mergeCells count="9">
    <mergeCell ref="Q32:R32"/>
    <mergeCell ref="C35:E35"/>
    <mergeCell ref="Q35:R35"/>
    <mergeCell ref="C3:N3"/>
    <mergeCell ref="Q3:T3"/>
    <mergeCell ref="C4:N4"/>
    <mergeCell ref="Q4:T4"/>
    <mergeCell ref="Q20:S20"/>
    <mergeCell ref="Q26:R26"/>
  </mergeCells>
  <pageMargins left="0.7" right="0.7" top="0.75" bottom="0.75" header="0.3" footer="0.3"/>
  <pageSetup scale="4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F920-8BBC-472D-81B1-68A527D09FD7}">
  <sheetPr>
    <pageSetUpPr fitToPage="1"/>
  </sheetPr>
  <dimension ref="A1:X49"/>
  <sheetViews>
    <sheetView showGridLines="0" topLeftCell="A4" zoomScale="61" zoomScaleNormal="70" workbookViewId="0">
      <selection activeCell="D8" sqref="D8:D33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18.265625" customWidth="1"/>
    <col min="14" max="14" width="16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3" spans="1:20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Q3" s="162" t="s">
        <v>25</v>
      </c>
      <c r="R3" s="163"/>
      <c r="S3" s="163"/>
      <c r="T3" s="163"/>
    </row>
    <row r="4" spans="1:20" ht="23.25" x14ac:dyDescent="0.7">
      <c r="C4" s="162" t="s">
        <v>218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Q4" s="162" t="s">
        <v>219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>
      <c r="M7" s="97"/>
      <c r="N7" s="97"/>
    </row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91"/>
      <c r="I8" s="91"/>
      <c r="J8" s="81"/>
      <c r="K8" s="81"/>
      <c r="L8" s="48"/>
      <c r="M8" s="97">
        <f t="shared" ref="M8:N33" si="0">F8+H8+J8</f>
        <v>0</v>
      </c>
      <c r="N8" s="106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83"/>
      <c r="J9" s="84"/>
      <c r="K9" s="84"/>
      <c r="L9" s="48"/>
      <c r="M9" s="97">
        <f t="shared" si="0"/>
        <v>0</v>
      </c>
      <c r="N9" s="106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128"/>
      <c r="I10" s="83"/>
      <c r="J10" s="84"/>
      <c r="K10" s="84"/>
      <c r="L10" s="48"/>
      <c r="M10" s="97">
        <f t="shared" si="0"/>
        <v>0</v>
      </c>
      <c r="N10" s="106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128"/>
      <c r="I11" s="83"/>
      <c r="J11" s="84"/>
      <c r="K11" s="84"/>
      <c r="L11" s="48"/>
      <c r="M11" s="106">
        <f t="shared" si="0"/>
        <v>0</v>
      </c>
      <c r="N11" s="106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128"/>
      <c r="I12" s="83"/>
      <c r="J12" s="84"/>
      <c r="K12" s="84"/>
      <c r="L12" s="48"/>
      <c r="M12" s="106">
        <f t="shared" si="0"/>
        <v>0</v>
      </c>
      <c r="N12" s="106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128"/>
      <c r="I13" s="83"/>
      <c r="J13" s="84"/>
      <c r="K13" s="84"/>
      <c r="L13" s="48"/>
      <c r="M13" s="106">
        <f t="shared" si="0"/>
        <v>0</v>
      </c>
      <c r="N13" s="106">
        <f t="shared" si="0"/>
        <v>0</v>
      </c>
      <c r="Q13" s="25">
        <v>6</v>
      </c>
      <c r="R13" s="25" t="s">
        <v>168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128"/>
      <c r="I14" s="83"/>
      <c r="J14" s="84"/>
      <c r="K14" s="84"/>
      <c r="L14" s="48"/>
      <c r="M14" s="97">
        <f t="shared" si="0"/>
        <v>0</v>
      </c>
      <c r="N14" s="106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128"/>
      <c r="I15" s="83"/>
      <c r="J15" s="84"/>
      <c r="K15" s="84"/>
      <c r="L15" s="48"/>
      <c r="M15" s="97">
        <f t="shared" si="0"/>
        <v>0</v>
      </c>
      <c r="N15" s="106">
        <f t="shared" si="0"/>
        <v>0</v>
      </c>
      <c r="Q15" s="25">
        <v>8</v>
      </c>
      <c r="R15" s="25" t="str">
        <f>May!R14</f>
        <v>عيدية صلاح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128"/>
      <c r="I16" s="83"/>
      <c r="J16" s="84"/>
      <c r="K16" s="84"/>
      <c r="L16" s="48"/>
      <c r="M16" s="106">
        <f t="shared" si="0"/>
        <v>0</v>
      </c>
      <c r="N16" s="106">
        <f t="shared" si="0"/>
        <v>0</v>
      </c>
      <c r="Q16" s="25">
        <v>9</v>
      </c>
      <c r="R16" s="25" t="s">
        <v>170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128"/>
      <c r="I17" s="83"/>
      <c r="J17" s="84"/>
      <c r="K17" s="84"/>
      <c r="L17" s="48"/>
      <c r="M17" s="106">
        <f t="shared" si="0"/>
        <v>0</v>
      </c>
      <c r="N17" s="106">
        <f t="shared" si="0"/>
        <v>0</v>
      </c>
      <c r="Q17" s="25">
        <v>10</v>
      </c>
      <c r="R17" s="25" t="s">
        <v>182</v>
      </c>
      <c r="S17" s="33"/>
      <c r="T17" s="25"/>
    </row>
    <row r="18" spans="1:24" ht="18" customHeight="1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128"/>
      <c r="I18" s="83"/>
      <c r="J18" s="84"/>
      <c r="K18" s="84"/>
      <c r="L18" s="48"/>
      <c r="M18" s="97">
        <f t="shared" si="0"/>
        <v>0</v>
      </c>
      <c r="N18" s="97">
        <f t="shared" si="0"/>
        <v>0</v>
      </c>
      <c r="Q18" s="155" t="s">
        <v>28</v>
      </c>
      <c r="R18" s="156"/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128"/>
      <c r="I19" s="83"/>
      <c r="J19" s="84"/>
      <c r="K19" s="84"/>
      <c r="L19" s="48"/>
      <c r="M19" s="106">
        <f t="shared" si="0"/>
        <v>0</v>
      </c>
      <c r="N19" s="106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/>
      <c r="G20" s="82"/>
      <c r="H20" s="128"/>
      <c r="I20" s="83"/>
      <c r="J20" s="84"/>
      <c r="K20" s="84"/>
      <c r="L20" s="48"/>
      <c r="M20" s="97">
        <f t="shared" si="0"/>
        <v>0</v>
      </c>
      <c r="N20" s="97">
        <f t="shared" si="0"/>
        <v>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128"/>
      <c r="I21" s="83"/>
      <c r="J21" s="84"/>
      <c r="K21" s="84"/>
      <c r="L21" s="48"/>
      <c r="M21" s="106">
        <f t="shared" si="0"/>
        <v>0</v>
      </c>
      <c r="N21" s="106">
        <f t="shared" si="0"/>
        <v>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128"/>
      <c r="I22" s="83"/>
      <c r="J22" s="84"/>
      <c r="K22" s="84"/>
      <c r="L22" s="48"/>
      <c r="M22" s="97">
        <f t="shared" si="0"/>
        <v>0</v>
      </c>
      <c r="N22" s="97">
        <f t="shared" si="0"/>
        <v>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128"/>
      <c r="I23" s="83"/>
      <c r="J23" s="84"/>
      <c r="K23" s="84"/>
      <c r="L23" s="48"/>
      <c r="M23" s="97">
        <f t="shared" si="0"/>
        <v>0</v>
      </c>
      <c r="N23" s="97">
        <f t="shared" si="0"/>
        <v>0</v>
      </c>
      <c r="Q23" s="25">
        <v>1</v>
      </c>
      <c r="R23" s="25" t="s">
        <v>19</v>
      </c>
      <c r="S23" s="32">
        <f>Jul!S26</f>
        <v>38166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83"/>
      <c r="I24" s="83"/>
      <c r="J24" s="84"/>
      <c r="K24" s="84"/>
      <c r="L24" s="48"/>
      <c r="M24" s="97">
        <f t="shared" si="0"/>
        <v>0</v>
      </c>
      <c r="N24" s="97">
        <f t="shared" si="0"/>
        <v>0</v>
      </c>
      <c r="Q24" s="25">
        <v>2</v>
      </c>
      <c r="R24" s="25" t="s">
        <v>119</v>
      </c>
      <c r="S24" s="32">
        <f>H35</f>
        <v>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83"/>
      <c r="I25" s="83"/>
      <c r="J25" s="84"/>
      <c r="K25" s="84"/>
      <c r="L25" s="48"/>
      <c r="M25" s="97">
        <f t="shared" si="0"/>
        <v>0</v>
      </c>
      <c r="N25" s="106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83"/>
      <c r="I26" s="83"/>
      <c r="J26" s="84"/>
      <c r="K26" s="84"/>
      <c r="L26" s="48"/>
      <c r="M26" s="106">
        <f t="shared" si="0"/>
        <v>0</v>
      </c>
      <c r="N26" s="106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83"/>
      <c r="I27" s="83"/>
      <c r="J27" s="84"/>
      <c r="K27" s="84"/>
      <c r="L27" s="48"/>
      <c r="M27" s="97">
        <f t="shared" si="0"/>
        <v>0</v>
      </c>
      <c r="N27" s="97">
        <f t="shared" si="0"/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83"/>
      <c r="I28" s="83"/>
      <c r="J28" s="84"/>
      <c r="K28" s="84"/>
      <c r="L28" s="48"/>
      <c r="M28" s="97">
        <f t="shared" si="0"/>
        <v>0</v>
      </c>
      <c r="N28" s="97">
        <f t="shared" si="0"/>
        <v>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83"/>
      <c r="I29" s="83"/>
      <c r="J29" s="84"/>
      <c r="K29" s="84"/>
      <c r="L29" s="48"/>
      <c r="M29" s="106">
        <f t="shared" si="0"/>
        <v>0</v>
      </c>
      <c r="N29" s="106">
        <f t="shared" si="0"/>
        <v>0</v>
      </c>
      <c r="Q29" s="25">
        <v>1</v>
      </c>
      <c r="R29" s="25" t="s">
        <v>19</v>
      </c>
      <c r="S29" s="32">
        <f>Jul!S32</f>
        <v>40780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83"/>
      <c r="I30" s="83"/>
      <c r="J30" s="84"/>
      <c r="K30" s="84"/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83"/>
      <c r="I31" s="83"/>
      <c r="J31" s="84"/>
      <c r="K31" s="84"/>
      <c r="L31" s="48"/>
      <c r="M31" s="97">
        <f t="shared" si="0"/>
        <v>0</v>
      </c>
      <c r="N31" s="97">
        <f t="shared" si="0"/>
        <v>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83"/>
      <c r="I32" s="83"/>
      <c r="J32" s="84"/>
      <c r="K32" s="84"/>
      <c r="L32" s="48"/>
      <c r="M32" s="106">
        <f t="shared" si="0"/>
        <v>0</v>
      </c>
      <c r="N32" s="106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86"/>
      <c r="I33" s="86"/>
      <c r="J33" s="87"/>
      <c r="K33" s="87"/>
      <c r="L33" s="48"/>
      <c r="M33" s="97">
        <f t="shared" si="0"/>
        <v>0</v>
      </c>
      <c r="N33" s="97">
        <f t="shared" si="0"/>
        <v>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 t="shared" si="1"/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  <c r="Q35" s="160" t="s">
        <v>183</v>
      </c>
      <c r="R35" s="161"/>
      <c r="S35" s="71">
        <f>S32+S26</f>
        <v>78946</v>
      </c>
    </row>
    <row r="37" spans="1:23" ht="22.5" x14ac:dyDescent="0.45">
      <c r="A37">
        <f>A40-Apr.!A36</f>
        <v>21300</v>
      </c>
      <c r="F37" s="31">
        <f>F35+H35</f>
        <v>0</v>
      </c>
      <c r="N37" s="131" t="b">
        <f>N35+M35=K35+J35+I35+H35+G35+F35</f>
        <v>1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I38" s="31">
        <v>50000</v>
      </c>
      <c r="S38" s="32">
        <f>S26</f>
        <v>38166</v>
      </c>
    </row>
    <row r="39" spans="1:23" ht="18" x14ac:dyDescent="0.45">
      <c r="D39">
        <f>-A40</f>
        <v>-33100</v>
      </c>
      <c r="I39" s="31">
        <f>SUM(A8:A33)</f>
        <v>33100</v>
      </c>
      <c r="S39" s="32">
        <f>S32</f>
        <v>40780</v>
      </c>
    </row>
    <row r="40" spans="1:23" ht="21.95" customHeight="1" x14ac:dyDescent="0.45">
      <c r="A40">
        <f>SUM(A8:A33)</f>
        <v>33100</v>
      </c>
      <c r="G40">
        <v>11800</v>
      </c>
      <c r="I40" s="31">
        <f>SUM(I38:I39)</f>
        <v>83100</v>
      </c>
      <c r="K40">
        <f>-2600-600-600-5800-3000-600-400-800-800-500-1200</f>
        <v>-16900</v>
      </c>
    </row>
    <row r="41" spans="1:23" ht="14.65" customHeight="1" thickBot="1" x14ac:dyDescent="0.5">
      <c r="I41">
        <v>-20000</v>
      </c>
    </row>
    <row r="42" spans="1:23" ht="22.9" thickBot="1" x14ac:dyDescent="0.5">
      <c r="I42" s="31">
        <f>SUM(I40:I41)+S43</f>
        <v>115578</v>
      </c>
      <c r="R42" s="69" t="s">
        <v>184</v>
      </c>
      <c r="S42" s="69" t="s">
        <v>17</v>
      </c>
    </row>
    <row r="43" spans="1:23" ht="18" x14ac:dyDescent="0.45">
      <c r="R43" s="25" t="s">
        <v>132</v>
      </c>
      <c r="S43" s="126">
        <f>Jul!S43</f>
        <v>52478</v>
      </c>
      <c r="T43" s="32"/>
    </row>
    <row r="44" spans="1:23" ht="18" x14ac:dyDescent="0.45">
      <c r="R44" s="25" t="s">
        <v>133</v>
      </c>
      <c r="S44" s="126">
        <f>Jul!S44</f>
        <v>26468</v>
      </c>
      <c r="T44" s="32"/>
    </row>
    <row r="45" spans="1:23" ht="14.65" thickBot="1" x14ac:dyDescent="0.5"/>
    <row r="46" spans="1:23" ht="22.9" thickBot="1" x14ac:dyDescent="0.5">
      <c r="F46">
        <v>400</v>
      </c>
      <c r="R46" s="68" t="str">
        <f>Q32</f>
        <v>الإجمالي</v>
      </c>
      <c r="S46" s="127">
        <f>SUM(S43:S45)</f>
        <v>78946</v>
      </c>
      <c r="T46" s="71"/>
      <c r="W46">
        <v>86673</v>
      </c>
    </row>
    <row r="47" spans="1:23" ht="14.65" thickBot="1" x14ac:dyDescent="0.5">
      <c r="F47">
        <f>600*6</f>
        <v>3600</v>
      </c>
      <c r="N47">
        <f>-56900-1200-1000-500-1000-2600-600-600-5800-3000-400-800-800-500-1200-1400+20000</f>
        <v>-58300</v>
      </c>
      <c r="S47" s="64"/>
    </row>
    <row r="48" spans="1:23" ht="22.9" thickBot="1" x14ac:dyDescent="0.5">
      <c r="F48">
        <v>1000</v>
      </c>
      <c r="R48" s="68" t="s">
        <v>134</v>
      </c>
      <c r="S48" s="119">
        <f>S46+S35</f>
        <v>157892</v>
      </c>
    </row>
    <row r="49" spans="6:6" x14ac:dyDescent="0.45">
      <c r="F49">
        <v>4600</v>
      </c>
    </row>
  </sheetData>
  <autoFilter ref="Q7:S18" xr:uid="{6355F16A-4814-4E97-8933-299AD5A8013A}"/>
  <mergeCells count="10">
    <mergeCell ref="Q32:R32"/>
    <mergeCell ref="C35:E35"/>
    <mergeCell ref="Q35:R35"/>
    <mergeCell ref="C3:N3"/>
    <mergeCell ref="Q3:T3"/>
    <mergeCell ref="C4:N4"/>
    <mergeCell ref="Q4:T4"/>
    <mergeCell ref="Q20:S20"/>
    <mergeCell ref="Q26:R26"/>
    <mergeCell ref="Q18:R18"/>
  </mergeCells>
  <pageMargins left="0.7" right="0.7" top="0.75" bottom="0.75" header="0.3" footer="0.3"/>
  <pageSetup scale="4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4470-CDFE-4404-BF9C-5C50A475E7E3}">
  <sheetPr>
    <pageSetUpPr fitToPage="1"/>
  </sheetPr>
  <dimension ref="A1:X50"/>
  <sheetViews>
    <sheetView showGridLines="0" zoomScale="61" zoomScaleNormal="70" workbookViewId="0">
      <selection activeCell="D8" sqref="D8:D24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26.1328125" customWidth="1"/>
    <col min="14" max="14" width="28.59765625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2" spans="1:20" ht="14.65" thickBot="1" x14ac:dyDescent="0.5"/>
    <row r="3" spans="1:20" ht="35.25" customHeight="1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M3" s="174" t="s">
        <v>185</v>
      </c>
      <c r="N3" s="175"/>
      <c r="Q3" s="162" t="s">
        <v>25</v>
      </c>
      <c r="R3" s="163"/>
      <c r="S3" s="163"/>
      <c r="T3" s="163"/>
    </row>
    <row r="4" spans="1:20" ht="23.25" x14ac:dyDescent="0.7">
      <c r="C4" s="162" t="s">
        <v>220</v>
      </c>
      <c r="D4" s="163"/>
      <c r="E4" s="163"/>
      <c r="F4" s="163"/>
      <c r="G4" s="163"/>
      <c r="H4" s="163"/>
      <c r="I4" s="163"/>
      <c r="J4" s="163"/>
      <c r="K4" s="163"/>
      <c r="M4" s="47"/>
      <c r="N4" s="47"/>
      <c r="Q4" s="162" t="s">
        <v>221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>
      <c r="M7" s="97"/>
      <c r="N7" s="97"/>
    </row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135"/>
      <c r="I8" s="135"/>
      <c r="J8" s="81"/>
      <c r="K8" s="81"/>
      <c r="L8" s="48"/>
      <c r="M8" s="97">
        <f t="shared" ref="M8:N33" si="0">F8+H8+J8</f>
        <v>0</v>
      </c>
      <c r="N8" s="106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128"/>
      <c r="J9" s="84"/>
      <c r="K9" s="84"/>
      <c r="L9" s="48"/>
      <c r="M9" s="97">
        <f t="shared" si="0"/>
        <v>0</v>
      </c>
      <c r="N9" s="106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128"/>
      <c r="I10" s="128"/>
      <c r="J10" s="84"/>
      <c r="K10" s="84"/>
      <c r="L10" s="48"/>
      <c r="M10" s="97">
        <f t="shared" si="0"/>
        <v>0</v>
      </c>
      <c r="N10" s="106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128"/>
      <c r="I11" s="128"/>
      <c r="J11" s="84"/>
      <c r="K11" s="84"/>
      <c r="L11" s="48"/>
      <c r="M11" s="97">
        <f t="shared" si="0"/>
        <v>0</v>
      </c>
      <c r="N11" s="106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128"/>
      <c r="I12" s="128"/>
      <c r="J12" s="84"/>
      <c r="K12" s="84"/>
      <c r="L12" s="48"/>
      <c r="M12" s="106">
        <f t="shared" si="0"/>
        <v>0</v>
      </c>
      <c r="N12" s="106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128"/>
      <c r="I13" s="128"/>
      <c r="J13" s="84"/>
      <c r="K13" s="84"/>
      <c r="L13" s="48"/>
      <c r="M13" s="106">
        <f t="shared" si="0"/>
        <v>0</v>
      </c>
      <c r="N13" s="106">
        <f t="shared" si="0"/>
        <v>0</v>
      </c>
      <c r="Q13" s="25">
        <v>6</v>
      </c>
      <c r="R13" s="25" t="s">
        <v>186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128"/>
      <c r="I14" s="128"/>
      <c r="J14" s="84"/>
      <c r="K14" s="84"/>
      <c r="L14" s="48"/>
      <c r="M14" s="97">
        <f t="shared" si="0"/>
        <v>0</v>
      </c>
      <c r="N14" s="106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128"/>
      <c r="I15" s="128"/>
      <c r="J15" s="84"/>
      <c r="K15" s="84"/>
      <c r="L15" s="48"/>
      <c r="M15" s="106">
        <f t="shared" si="0"/>
        <v>0</v>
      </c>
      <c r="N15" s="106">
        <f t="shared" si="0"/>
        <v>0</v>
      </c>
      <c r="Q15" s="25">
        <v>8</v>
      </c>
      <c r="R15" s="25" t="s">
        <v>189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128"/>
      <c r="I16" s="128"/>
      <c r="J16" s="84"/>
      <c r="K16" s="84"/>
      <c r="L16" s="48"/>
      <c r="M16" s="106">
        <f t="shared" si="0"/>
        <v>0</v>
      </c>
      <c r="N16" s="106">
        <f t="shared" si="0"/>
        <v>0</v>
      </c>
      <c r="Q16" s="25">
        <v>9</v>
      </c>
      <c r="R16" s="25" t="s">
        <v>170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128"/>
      <c r="I17" s="128"/>
      <c r="J17" s="84"/>
      <c r="K17" s="84"/>
      <c r="L17" s="48"/>
      <c r="M17" s="97">
        <f t="shared" si="0"/>
        <v>0</v>
      </c>
      <c r="N17" s="97">
        <f t="shared" si="0"/>
        <v>0</v>
      </c>
      <c r="Q17" s="25">
        <v>10</v>
      </c>
      <c r="R17" s="25" t="s">
        <v>187</v>
      </c>
      <c r="S17" s="33"/>
      <c r="T17" s="25"/>
    </row>
    <row r="18" spans="1:24" ht="18" customHeight="1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128"/>
      <c r="I18" s="128"/>
      <c r="J18" s="84"/>
      <c r="K18" s="84"/>
      <c r="L18" s="48"/>
      <c r="M18" s="97">
        <f t="shared" si="0"/>
        <v>0</v>
      </c>
      <c r="N18" s="97">
        <f t="shared" si="0"/>
        <v>0</v>
      </c>
      <c r="Q18" s="25">
        <v>11</v>
      </c>
      <c r="R18" s="25" t="s">
        <v>188</v>
      </c>
      <c r="S18" s="33"/>
      <c r="T18" s="24"/>
    </row>
    <row r="19" spans="1:24" ht="18.39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128"/>
      <c r="I19" s="128"/>
      <c r="J19" s="84"/>
      <c r="K19" s="84"/>
      <c r="L19" s="48"/>
      <c r="M19" s="106">
        <f t="shared" si="0"/>
        <v>0</v>
      </c>
      <c r="N19" s="106">
        <f t="shared" si="0"/>
        <v>0</v>
      </c>
      <c r="Q19" s="25">
        <v>12</v>
      </c>
      <c r="R19" s="25"/>
      <c r="S19" s="33"/>
    </row>
    <row r="20" spans="1:24" ht="22.9" thickBot="1" x14ac:dyDescent="0.5">
      <c r="C20" s="100">
        <v>13</v>
      </c>
      <c r="D20" s="98" t="s">
        <v>52</v>
      </c>
      <c r="E20" s="98" t="s">
        <v>53</v>
      </c>
      <c r="F20" s="82"/>
      <c r="G20" s="82"/>
      <c r="H20" s="128"/>
      <c r="I20" s="128"/>
      <c r="J20" s="84"/>
      <c r="K20" s="84"/>
      <c r="L20" s="48"/>
      <c r="M20" s="97">
        <f t="shared" si="0"/>
        <v>0</v>
      </c>
      <c r="N20" s="97">
        <f t="shared" si="0"/>
        <v>0</v>
      </c>
      <c r="Q20" s="155" t="s">
        <v>28</v>
      </c>
      <c r="R20" s="156"/>
      <c r="S20" s="35">
        <f>SUM(S8:S19)</f>
        <v>0</v>
      </c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128"/>
      <c r="I21" s="128"/>
      <c r="J21" s="84"/>
      <c r="K21" s="84"/>
      <c r="L21" s="48"/>
      <c r="M21" s="97">
        <f t="shared" si="0"/>
        <v>0</v>
      </c>
      <c r="N21" s="97">
        <f t="shared" si="0"/>
        <v>0</v>
      </c>
    </row>
    <row r="22" spans="1:24" ht="23.65" thickBot="1" x14ac:dyDescent="0.7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128"/>
      <c r="I22" s="128"/>
      <c r="J22" s="84"/>
      <c r="K22" s="84"/>
      <c r="L22" s="48"/>
      <c r="M22" s="97">
        <f t="shared" si="0"/>
        <v>0</v>
      </c>
      <c r="N22" s="97">
        <f t="shared" si="0"/>
        <v>0</v>
      </c>
      <c r="Q22" s="162" t="s">
        <v>117</v>
      </c>
      <c r="R22" s="163"/>
      <c r="S22" s="163"/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128"/>
      <c r="I23" s="128"/>
      <c r="J23" s="84"/>
      <c r="K23" s="84"/>
      <c r="L23" s="48"/>
      <c r="M23" s="97">
        <f t="shared" si="0"/>
        <v>0</v>
      </c>
      <c r="N23" s="97">
        <f t="shared" si="0"/>
        <v>0</v>
      </c>
    </row>
    <row r="24" spans="1:24" ht="22.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128"/>
      <c r="I24" s="128"/>
      <c r="J24" s="84"/>
      <c r="K24" s="84"/>
      <c r="L24" s="48"/>
      <c r="M24" s="97">
        <f t="shared" si="0"/>
        <v>0</v>
      </c>
      <c r="N24" s="97">
        <f t="shared" si="0"/>
        <v>0</v>
      </c>
      <c r="Q24" s="70" t="s">
        <v>16</v>
      </c>
      <c r="R24" s="69" t="s">
        <v>129</v>
      </c>
      <c r="S24" s="69" t="s">
        <v>17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128"/>
      <c r="I25" s="128"/>
      <c r="J25" s="84"/>
      <c r="K25" s="84"/>
      <c r="L25" s="48"/>
      <c r="M25" s="97">
        <f t="shared" si="0"/>
        <v>0</v>
      </c>
      <c r="N25" s="106">
        <f t="shared" si="0"/>
        <v>0</v>
      </c>
      <c r="Q25" s="25">
        <v>1</v>
      </c>
      <c r="R25" s="25" t="s">
        <v>19</v>
      </c>
      <c r="S25" s="32">
        <f>Aug!S26</f>
        <v>38166</v>
      </c>
    </row>
    <row r="26" spans="1:24" ht="18.39999999999999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128"/>
      <c r="I26" s="128"/>
      <c r="J26" s="84"/>
      <c r="K26" s="84"/>
      <c r="L26" s="48"/>
      <c r="M26" s="106">
        <f t="shared" si="0"/>
        <v>0</v>
      </c>
      <c r="N26" s="106">
        <f t="shared" si="0"/>
        <v>0</v>
      </c>
      <c r="Q26" s="25">
        <v>2</v>
      </c>
      <c r="R26" s="25" t="s">
        <v>119</v>
      </c>
      <c r="S26" s="32">
        <f>H35</f>
        <v>0</v>
      </c>
    </row>
    <row r="27" spans="1:24" ht="18.39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128"/>
      <c r="I27" s="128"/>
      <c r="J27" s="84"/>
      <c r="K27" s="84"/>
      <c r="L27" s="48"/>
      <c r="M27" s="97">
        <f t="shared" si="0"/>
        <v>0</v>
      </c>
      <c r="N27" s="97">
        <f t="shared" si="0"/>
        <v>0</v>
      </c>
      <c r="Q27" s="25">
        <v>3</v>
      </c>
      <c r="R27" s="25" t="s">
        <v>120</v>
      </c>
      <c r="S27" s="33">
        <f>S20</f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128"/>
      <c r="I28" s="128"/>
      <c r="J28" s="84"/>
      <c r="K28" s="84"/>
      <c r="L28" s="48"/>
      <c r="M28" s="106">
        <f t="shared" si="0"/>
        <v>0</v>
      </c>
      <c r="N28" s="106">
        <f t="shared" si="0"/>
        <v>0</v>
      </c>
      <c r="Q28" s="155" t="s">
        <v>28</v>
      </c>
      <c r="R28" s="156"/>
      <c r="S28" s="71">
        <f>SUM(S25:S27)</f>
        <v>38166</v>
      </c>
    </row>
    <row r="29" spans="1:24" ht="17.64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128"/>
      <c r="I29" s="128"/>
      <c r="J29" s="84"/>
      <c r="K29" s="84"/>
      <c r="L29" s="48"/>
      <c r="M29" s="106">
        <f t="shared" si="0"/>
        <v>0</v>
      </c>
      <c r="N29" s="106">
        <f t="shared" si="0"/>
        <v>0</v>
      </c>
    </row>
    <row r="30" spans="1:24" ht="22.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128"/>
      <c r="I30" s="128"/>
      <c r="J30" s="84"/>
      <c r="K30" s="84"/>
      <c r="L30" s="48"/>
      <c r="M30" s="97">
        <f t="shared" si="0"/>
        <v>0</v>
      </c>
      <c r="N30" s="97">
        <f t="shared" si="0"/>
        <v>0</v>
      </c>
      <c r="Q30" s="70" t="s">
        <v>16</v>
      </c>
      <c r="R30" s="69" t="s">
        <v>118</v>
      </c>
      <c r="S30" s="69" t="s">
        <v>17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128"/>
      <c r="I31" s="128"/>
      <c r="J31" s="84"/>
      <c r="K31" s="84"/>
      <c r="L31" s="48"/>
      <c r="M31" s="106">
        <f t="shared" si="0"/>
        <v>0</v>
      </c>
      <c r="N31" s="106">
        <f t="shared" si="0"/>
        <v>0</v>
      </c>
      <c r="Q31" s="25">
        <v>1</v>
      </c>
      <c r="R31" s="25" t="s">
        <v>19</v>
      </c>
      <c r="S31" s="32">
        <f>Aug!S32</f>
        <v>40780</v>
      </c>
    </row>
    <row r="32" spans="1:24" ht="18.39999999999999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128"/>
      <c r="I32" s="128"/>
      <c r="J32" s="84"/>
      <c r="K32" s="84"/>
      <c r="L32" s="48"/>
      <c r="M32" s="106">
        <f t="shared" si="0"/>
        <v>0</v>
      </c>
      <c r="N32" s="106">
        <f t="shared" si="0"/>
        <v>0</v>
      </c>
      <c r="Q32" s="25">
        <v>2</v>
      </c>
      <c r="R32" s="25" t="s">
        <v>119</v>
      </c>
      <c r="S32" s="32">
        <f>I35</f>
        <v>0</v>
      </c>
      <c r="X32" s="63">
        <f>S20+S33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136"/>
      <c r="I33" s="136"/>
      <c r="J33" s="87"/>
      <c r="K33" s="87"/>
      <c r="L33" s="48"/>
      <c r="M33" s="97">
        <f t="shared" si="0"/>
        <v>0</v>
      </c>
      <c r="N33" s="97">
        <f t="shared" si="0"/>
        <v>0</v>
      </c>
      <c r="Q33" s="25">
        <v>3</v>
      </c>
      <c r="R33" s="25" t="s">
        <v>120</v>
      </c>
      <c r="S33" s="33">
        <v>0</v>
      </c>
    </row>
    <row r="34" spans="1:23" ht="19.149999999999999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  <c r="Q34" s="155" t="s">
        <v>28</v>
      </c>
      <c r="R34" s="156"/>
      <c r="S34" s="71">
        <f>SUM(S31:S33)</f>
        <v>40780</v>
      </c>
    </row>
    <row r="35" spans="1:23" ht="23.65" thickBot="1" x14ac:dyDescent="0.5">
      <c r="A35" s="31">
        <f>A40+S45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>SUM(H8:H33)</f>
        <v>0</v>
      </c>
      <c r="I35" s="30">
        <f>SUM(I8:I33)</f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</row>
    <row r="36" spans="1:23" ht="14.65" thickBot="1" x14ac:dyDescent="0.5"/>
    <row r="37" spans="1:23" ht="22.9" thickBot="1" x14ac:dyDescent="0.5">
      <c r="A37">
        <f>A40-Apr.!A36</f>
        <v>21300</v>
      </c>
      <c r="F37" s="31">
        <f>F35+H35</f>
        <v>0</v>
      </c>
      <c r="N37" s="131" t="b">
        <f>N35+M35=K35+J35+I35+H35+G35+F35</f>
        <v>1</v>
      </c>
      <c r="Q37" s="160" t="s">
        <v>183</v>
      </c>
      <c r="R37" s="161"/>
      <c r="S37" s="71">
        <f>S34+S28</f>
        <v>78946</v>
      </c>
    </row>
    <row r="38" spans="1:23" x14ac:dyDescent="0.45">
      <c r="A38">
        <f>-A17+A37</f>
        <v>15500</v>
      </c>
      <c r="I38" s="31">
        <v>50000</v>
      </c>
    </row>
    <row r="39" spans="1:23" x14ac:dyDescent="0.45">
      <c r="D39">
        <f>-A40</f>
        <v>-33100</v>
      </c>
      <c r="I39" s="31">
        <f>SUM(A8:A33)</f>
        <v>33100</v>
      </c>
      <c r="R39">
        <v>24180</v>
      </c>
      <c r="S39" s="36">
        <f>S37+S45+S46</f>
        <v>157892</v>
      </c>
    </row>
    <row r="40" spans="1:23" ht="21.95" customHeight="1" x14ac:dyDescent="0.45">
      <c r="A40">
        <f>SUM(A8:A33)</f>
        <v>33100</v>
      </c>
      <c r="G40">
        <v>11800</v>
      </c>
      <c r="I40" s="31">
        <f>SUM(I38:I39)</f>
        <v>83100</v>
      </c>
      <c r="K40">
        <f>-2600-600-600-5800-3000-600-400-800-800-500-1200</f>
        <v>-16900</v>
      </c>
      <c r="S40" s="32">
        <f>S28</f>
        <v>38166</v>
      </c>
    </row>
    <row r="41" spans="1:23" ht="14.65" customHeight="1" x14ac:dyDescent="0.45">
      <c r="I41">
        <v>-20000</v>
      </c>
      <c r="S41" s="32">
        <f>S34</f>
        <v>40780</v>
      </c>
    </row>
    <row r="42" spans="1:23" x14ac:dyDescent="0.45">
      <c r="I42" s="31">
        <f>SUM(I40:I41)+S45</f>
        <v>115578</v>
      </c>
    </row>
    <row r="43" spans="1:23" ht="18.399999999999999" thickBot="1" x14ac:dyDescent="0.5">
      <c r="T43" s="32"/>
    </row>
    <row r="44" spans="1:23" ht="22.9" thickBot="1" x14ac:dyDescent="0.5">
      <c r="J44" s="129">
        <f>S45-Aug!S43</f>
        <v>0</v>
      </c>
      <c r="R44" s="69" t="s">
        <v>184</v>
      </c>
      <c r="S44" s="69" t="s">
        <v>17</v>
      </c>
      <c r="T44" s="32"/>
    </row>
    <row r="45" spans="1:23" ht="18.399999999999999" thickBot="1" x14ac:dyDescent="0.5">
      <c r="J45" s="129">
        <f>S46-Aug!S44</f>
        <v>0</v>
      </c>
      <c r="R45" s="25" t="s">
        <v>132</v>
      </c>
      <c r="S45" s="126">
        <f>Aug!S43</f>
        <v>52478</v>
      </c>
    </row>
    <row r="46" spans="1:23" ht="22.9" thickBot="1" x14ac:dyDescent="0.5">
      <c r="F46">
        <v>400</v>
      </c>
      <c r="J46" s="129">
        <f>SUM(J44:J45)+H35+I35</f>
        <v>0</v>
      </c>
      <c r="R46" s="25" t="s">
        <v>133</v>
      </c>
      <c r="S46" s="126">
        <f>Aug!S44</f>
        <v>26468</v>
      </c>
      <c r="T46" s="71"/>
      <c r="W46">
        <v>86673</v>
      </c>
    </row>
    <row r="47" spans="1:23" ht="14.65" thickBot="1" x14ac:dyDescent="0.5">
      <c r="F47">
        <f>600*6</f>
        <v>3600</v>
      </c>
      <c r="N47">
        <f>-56900-1200-1000-500-1000-2600-600-600-5800-3000-400-800-800-500-1200-1400+20000</f>
        <v>-58300</v>
      </c>
    </row>
    <row r="48" spans="1:23" ht="22.9" thickBot="1" x14ac:dyDescent="0.5">
      <c r="F48">
        <v>1000</v>
      </c>
      <c r="R48" s="68" t="str">
        <f>Q34</f>
        <v>الإجمالي</v>
      </c>
      <c r="S48" s="127">
        <f>SUM(S45:S47)</f>
        <v>78946</v>
      </c>
    </row>
    <row r="49" spans="6:19" ht="14.65" thickBot="1" x14ac:dyDescent="0.5">
      <c r="F49">
        <v>4600</v>
      </c>
      <c r="S49" s="64"/>
    </row>
    <row r="50" spans="6:19" ht="22.9" thickBot="1" x14ac:dyDescent="0.5">
      <c r="R50" s="68" t="s">
        <v>134</v>
      </c>
      <c r="S50" s="119">
        <f>S48+S37</f>
        <v>157892</v>
      </c>
    </row>
  </sheetData>
  <autoFilter ref="Q7:S20" xr:uid="{6355F16A-4814-4E97-8933-299AD5A8013A}"/>
  <mergeCells count="11">
    <mergeCell ref="Q28:R28"/>
    <mergeCell ref="Q34:R34"/>
    <mergeCell ref="C35:E35"/>
    <mergeCell ref="Q37:R37"/>
    <mergeCell ref="Q3:T3"/>
    <mergeCell ref="Q4:T4"/>
    <mergeCell ref="Q20:R20"/>
    <mergeCell ref="Q22:S22"/>
    <mergeCell ref="C3:K3"/>
    <mergeCell ref="C4:K4"/>
    <mergeCell ref="M3:N3"/>
  </mergeCells>
  <pageMargins left="0.7" right="0.7" top="0.75" bottom="0.75" header="0.3" footer="0.3"/>
  <pageSetup scale="4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C2A9-EB54-4DDA-BF0C-7B103C8C9700}">
  <sheetPr>
    <pageSetUpPr fitToPage="1"/>
  </sheetPr>
  <dimension ref="A1:X49"/>
  <sheetViews>
    <sheetView showGridLines="0" zoomScale="55" zoomScaleNormal="55" workbookViewId="0">
      <selection activeCell="D8" sqref="D8:D33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26.1328125" customWidth="1"/>
    <col min="14" max="14" width="28.59765625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2" spans="1:20" ht="14.65" thickBot="1" x14ac:dyDescent="0.5"/>
    <row r="3" spans="1:20" ht="35.25" customHeight="1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M3" s="174" t="s">
        <v>185</v>
      </c>
      <c r="N3" s="175"/>
      <c r="Q3" s="162" t="s">
        <v>25</v>
      </c>
      <c r="R3" s="163"/>
      <c r="S3" s="163"/>
      <c r="T3" s="163"/>
    </row>
    <row r="4" spans="1:20" ht="23.25" x14ac:dyDescent="0.7">
      <c r="C4" s="162" t="s">
        <v>222</v>
      </c>
      <c r="D4" s="163"/>
      <c r="E4" s="163"/>
      <c r="F4" s="163"/>
      <c r="G4" s="163"/>
      <c r="H4" s="163"/>
      <c r="I4" s="163"/>
      <c r="J4" s="163"/>
      <c r="K4" s="163"/>
      <c r="M4" s="47"/>
      <c r="N4" s="47"/>
      <c r="Q4" s="162" t="s">
        <v>223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>
      <c r="M7" s="97"/>
      <c r="N7" s="97"/>
    </row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135"/>
      <c r="I8" s="135"/>
      <c r="J8" s="81"/>
      <c r="K8" s="81"/>
      <c r="L8" s="48"/>
      <c r="M8" s="97">
        <f t="shared" ref="M8:N33" si="0">F8+H8+J8</f>
        <v>0</v>
      </c>
      <c r="N8" s="97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128"/>
      <c r="J9" s="84"/>
      <c r="K9" s="84"/>
      <c r="L9" s="48"/>
      <c r="M9" s="97">
        <f t="shared" si="0"/>
        <v>0</v>
      </c>
      <c r="N9" s="97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83"/>
      <c r="I10" s="83"/>
      <c r="J10" s="84"/>
      <c r="K10" s="84"/>
      <c r="L10" s="48"/>
      <c r="M10" s="97">
        <f t="shared" si="0"/>
        <v>0</v>
      </c>
      <c r="N10" s="97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83"/>
      <c r="I11" s="83"/>
      <c r="J11" s="84"/>
      <c r="K11" s="84"/>
      <c r="L11" s="48"/>
      <c r="M11" s="97">
        <f t="shared" si="0"/>
        <v>0</v>
      </c>
      <c r="N11" s="97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83"/>
      <c r="I12" s="83"/>
      <c r="J12" s="84"/>
      <c r="K12" s="84"/>
      <c r="L12" s="48"/>
      <c r="M12" s="97">
        <f t="shared" si="0"/>
        <v>0</v>
      </c>
      <c r="N12" s="97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83"/>
      <c r="I13" s="83"/>
      <c r="J13" s="84"/>
      <c r="K13" s="84"/>
      <c r="L13" s="48"/>
      <c r="M13" s="97">
        <f t="shared" si="0"/>
        <v>0</v>
      </c>
      <c r="N13" s="97">
        <f t="shared" si="0"/>
        <v>0</v>
      </c>
      <c r="Q13" s="25">
        <v>6</v>
      </c>
      <c r="R13" s="25" t="s">
        <v>192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83"/>
      <c r="I14" s="83"/>
      <c r="J14" s="84"/>
      <c r="K14" s="84"/>
      <c r="L14" s="48"/>
      <c r="M14" s="97">
        <f t="shared" si="0"/>
        <v>0</v>
      </c>
      <c r="N14" s="97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83"/>
      <c r="I15" s="83"/>
      <c r="J15" s="84"/>
      <c r="K15" s="84"/>
      <c r="L15" s="48"/>
      <c r="M15" s="97">
        <f t="shared" si="0"/>
        <v>0</v>
      </c>
      <c r="N15" s="97">
        <f t="shared" si="0"/>
        <v>0</v>
      </c>
      <c r="Q15" s="25">
        <v>8</v>
      </c>
      <c r="R15" s="25" t="s">
        <v>190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83"/>
      <c r="I16" s="83"/>
      <c r="J16" s="84"/>
      <c r="K16" s="84"/>
      <c r="L16" s="48"/>
      <c r="M16" s="97">
        <f t="shared" si="0"/>
        <v>0</v>
      </c>
      <c r="N16" s="97">
        <f t="shared" si="0"/>
        <v>0</v>
      </c>
      <c r="Q16" s="25">
        <v>9</v>
      </c>
      <c r="R16" s="25" t="s">
        <v>191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83"/>
      <c r="I17" s="83"/>
      <c r="J17" s="84"/>
      <c r="K17" s="84"/>
      <c r="L17" s="48"/>
      <c r="M17" s="97">
        <f t="shared" si="0"/>
        <v>0</v>
      </c>
      <c r="N17" s="97">
        <f t="shared" si="0"/>
        <v>0</v>
      </c>
      <c r="Q17" s="25">
        <v>10</v>
      </c>
      <c r="R17" s="25" t="s">
        <v>182</v>
      </c>
      <c r="S17" s="33"/>
      <c r="T17" s="25"/>
    </row>
    <row r="18" spans="1:24" ht="18" customHeight="1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83"/>
      <c r="I18" s="83"/>
      <c r="J18" s="84"/>
      <c r="K18" s="84"/>
      <c r="L18" s="48"/>
      <c r="M18" s="97">
        <f t="shared" si="0"/>
        <v>0</v>
      </c>
      <c r="N18" s="97">
        <f t="shared" si="0"/>
        <v>0</v>
      </c>
      <c r="Q18" s="155" t="s">
        <v>28</v>
      </c>
      <c r="R18" s="156"/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83"/>
      <c r="I19" s="83"/>
      <c r="J19" s="84"/>
      <c r="K19" s="84"/>
      <c r="L19" s="48"/>
      <c r="M19" s="97">
        <f t="shared" si="0"/>
        <v>0</v>
      </c>
      <c r="N19" s="97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/>
      <c r="G20" s="82"/>
      <c r="H20" s="83"/>
      <c r="I20" s="83"/>
      <c r="J20" s="84"/>
      <c r="K20" s="84"/>
      <c r="L20" s="48"/>
      <c r="M20" s="97">
        <f t="shared" si="0"/>
        <v>0</v>
      </c>
      <c r="N20" s="97">
        <f t="shared" si="0"/>
        <v>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83"/>
      <c r="I21" s="83"/>
      <c r="J21" s="84"/>
      <c r="K21" s="84"/>
      <c r="L21" s="48"/>
      <c r="M21" s="97">
        <f t="shared" si="0"/>
        <v>0</v>
      </c>
      <c r="N21" s="97">
        <f t="shared" si="0"/>
        <v>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83"/>
      <c r="I22" s="83"/>
      <c r="J22" s="84"/>
      <c r="K22" s="84"/>
      <c r="L22" s="48"/>
      <c r="M22" s="97">
        <f t="shared" si="0"/>
        <v>0</v>
      </c>
      <c r="N22" s="97">
        <f t="shared" si="0"/>
        <v>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83"/>
      <c r="I23" s="83"/>
      <c r="J23" s="84"/>
      <c r="K23" s="84"/>
      <c r="L23" s="48"/>
      <c r="M23" s="97">
        <f t="shared" si="0"/>
        <v>0</v>
      </c>
      <c r="N23" s="97">
        <f t="shared" si="0"/>
        <v>0</v>
      </c>
      <c r="Q23" s="25">
        <v>1</v>
      </c>
      <c r="R23" s="25" t="s">
        <v>19</v>
      </c>
      <c r="S23" s="32">
        <f>Sep!S28</f>
        <v>38166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83"/>
      <c r="I24" s="83"/>
      <c r="J24" s="84"/>
      <c r="K24" s="84"/>
      <c r="L24" s="48"/>
      <c r="M24" s="97">
        <f t="shared" si="0"/>
        <v>0</v>
      </c>
      <c r="N24" s="97">
        <f t="shared" si="0"/>
        <v>0</v>
      </c>
      <c r="Q24" s="25">
        <v>2</v>
      </c>
      <c r="R24" s="25" t="s">
        <v>119</v>
      </c>
      <c r="S24" s="32">
        <f>H35</f>
        <v>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83"/>
      <c r="I25" s="83"/>
      <c r="J25" s="84"/>
      <c r="K25" s="84"/>
      <c r="L25" s="48"/>
      <c r="M25" s="97">
        <f t="shared" si="0"/>
        <v>0</v>
      </c>
      <c r="N25" s="97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83"/>
      <c r="I26" s="83"/>
      <c r="J26" s="84"/>
      <c r="K26" s="84"/>
      <c r="L26" s="48"/>
      <c r="M26" s="97">
        <f t="shared" si="0"/>
        <v>0</v>
      </c>
      <c r="N26" s="97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83"/>
      <c r="I27" s="83"/>
      <c r="J27" s="84"/>
      <c r="K27" s="84"/>
      <c r="L27" s="48"/>
      <c r="M27" s="97">
        <f t="shared" si="0"/>
        <v>0</v>
      </c>
      <c r="N27" s="97">
        <f t="shared" si="0"/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83"/>
      <c r="I28" s="83"/>
      <c r="J28" s="84"/>
      <c r="K28" s="84"/>
      <c r="L28" s="48"/>
      <c r="M28" s="97">
        <f t="shared" si="0"/>
        <v>0</v>
      </c>
      <c r="N28" s="97">
        <f t="shared" si="0"/>
        <v>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83"/>
      <c r="I29" s="83"/>
      <c r="J29" s="84"/>
      <c r="K29" s="84"/>
      <c r="L29" s="48"/>
      <c r="M29" s="97">
        <f t="shared" si="0"/>
        <v>0</v>
      </c>
      <c r="N29" s="97">
        <f t="shared" si="0"/>
        <v>0</v>
      </c>
      <c r="Q29" s="25">
        <v>1</v>
      </c>
      <c r="R29" s="25" t="s">
        <v>19</v>
      </c>
      <c r="S29" s="32">
        <f>Sep!S34</f>
        <v>40780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83"/>
      <c r="I30" s="83"/>
      <c r="J30" s="84"/>
      <c r="K30" s="84"/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83"/>
      <c r="I31" s="83"/>
      <c r="J31" s="84"/>
      <c r="K31" s="84"/>
      <c r="L31" s="48"/>
      <c r="M31" s="97">
        <f t="shared" si="0"/>
        <v>0</v>
      </c>
      <c r="N31" s="97">
        <f t="shared" si="0"/>
        <v>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83"/>
      <c r="I32" s="83"/>
      <c r="J32" s="84"/>
      <c r="K32" s="84"/>
      <c r="L32" s="48"/>
      <c r="M32" s="97">
        <f t="shared" si="0"/>
        <v>0</v>
      </c>
      <c r="N32" s="97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136"/>
      <c r="I33" s="136"/>
      <c r="J33" s="87"/>
      <c r="K33" s="87"/>
      <c r="L33" s="48"/>
      <c r="M33" s="97">
        <f t="shared" si="0"/>
        <v>0</v>
      </c>
      <c r="N33" s="97">
        <f t="shared" si="0"/>
        <v>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>SUM(H8:H33)</f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  <c r="Q35" s="160" t="s">
        <v>183</v>
      </c>
      <c r="R35" s="161"/>
      <c r="S35" s="71">
        <f>S32+S26</f>
        <v>78946</v>
      </c>
    </row>
    <row r="37" spans="1:23" ht="22.5" x14ac:dyDescent="0.45">
      <c r="A37">
        <f>A40-Apr.!A36</f>
        <v>21300</v>
      </c>
      <c r="F37" s="31">
        <f>F35+H35</f>
        <v>0</v>
      </c>
      <c r="N37" s="131" t="b">
        <f>N35+M35=K35+J35+I35+H35+G35+F35</f>
        <v>1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I38" s="31">
        <v>50000</v>
      </c>
      <c r="S38" s="32">
        <f>S26</f>
        <v>38166</v>
      </c>
    </row>
    <row r="39" spans="1:23" ht="18" x14ac:dyDescent="0.45">
      <c r="D39">
        <f>-A40</f>
        <v>-33100</v>
      </c>
      <c r="I39" s="31">
        <f>SUM(A8:A33)</f>
        <v>33100</v>
      </c>
      <c r="S39" s="32">
        <f>S32</f>
        <v>40780</v>
      </c>
    </row>
    <row r="40" spans="1:23" ht="21.95" customHeight="1" x14ac:dyDescent="0.45">
      <c r="A40">
        <f>SUM(A8:A33)</f>
        <v>33100</v>
      </c>
      <c r="G40">
        <v>11800</v>
      </c>
      <c r="I40" s="31">
        <f>SUM(I38:I39)</f>
        <v>83100</v>
      </c>
      <c r="K40">
        <f>-2600-600-600-5800-3000-600-400-800-800-500-1200</f>
        <v>-16900</v>
      </c>
    </row>
    <row r="41" spans="1:23" ht="14.65" customHeight="1" thickBot="1" x14ac:dyDescent="0.5">
      <c r="I41">
        <v>-20000</v>
      </c>
    </row>
    <row r="42" spans="1:23" ht="22.9" thickBot="1" x14ac:dyDescent="0.5">
      <c r="I42" s="31">
        <f>SUM(I40:I41)+S43</f>
        <v>115578</v>
      </c>
      <c r="R42" s="69" t="s">
        <v>184</v>
      </c>
      <c r="S42" s="69" t="s">
        <v>17</v>
      </c>
    </row>
    <row r="43" spans="1:23" ht="18" x14ac:dyDescent="0.45">
      <c r="R43" s="25" t="s">
        <v>132</v>
      </c>
      <c r="S43" s="126">
        <f>Sep!S45</f>
        <v>52478</v>
      </c>
      <c r="T43" s="32"/>
    </row>
    <row r="44" spans="1:23" ht="18" x14ac:dyDescent="0.45">
      <c r="J44" s="129">
        <f>S43-Aug!S43</f>
        <v>0</v>
      </c>
      <c r="R44" s="25" t="s">
        <v>133</v>
      </c>
      <c r="S44" s="126">
        <f>Sep!S46</f>
        <v>26468</v>
      </c>
      <c r="T44" s="32"/>
    </row>
    <row r="45" spans="1:23" ht="14.65" thickBot="1" x14ac:dyDescent="0.5">
      <c r="J45" s="129">
        <f>S44-Aug!S44</f>
        <v>0</v>
      </c>
    </row>
    <row r="46" spans="1:23" ht="22.9" thickBot="1" x14ac:dyDescent="0.5">
      <c r="F46">
        <v>400</v>
      </c>
      <c r="J46" s="129">
        <f>SUM(J44:J45)+H35+I35</f>
        <v>0</v>
      </c>
      <c r="R46" s="68" t="str">
        <f>Q32</f>
        <v>الإجمالي</v>
      </c>
      <c r="S46" s="127">
        <f>SUM(S43:S45)</f>
        <v>78946</v>
      </c>
      <c r="T46" s="71"/>
      <c r="W46">
        <v>86673</v>
      </c>
    </row>
    <row r="47" spans="1:23" ht="14.65" thickBot="1" x14ac:dyDescent="0.5">
      <c r="F47">
        <f>600*6</f>
        <v>3600</v>
      </c>
      <c r="N47">
        <f>-56900-1200-1000-500-1000-2600-600-600-5800-3000-400-800-800-500-1200-1400+20000</f>
        <v>-58300</v>
      </c>
      <c r="S47" s="64"/>
    </row>
    <row r="48" spans="1:23" ht="22.9" thickBot="1" x14ac:dyDescent="0.5">
      <c r="F48">
        <v>1000</v>
      </c>
      <c r="R48" s="68" t="s">
        <v>134</v>
      </c>
      <c r="S48" s="119">
        <f>S46+S35</f>
        <v>157892</v>
      </c>
    </row>
    <row r="49" spans="6:14" x14ac:dyDescent="0.45">
      <c r="F49">
        <v>4600</v>
      </c>
      <c r="N49" s="129">
        <f>S43+41900</f>
        <v>94378</v>
      </c>
    </row>
  </sheetData>
  <autoFilter ref="Q7:S18" xr:uid="{6355F16A-4814-4E97-8933-299AD5A8013A}"/>
  <mergeCells count="11">
    <mergeCell ref="Q20:S20"/>
    <mergeCell ref="Q26:R26"/>
    <mergeCell ref="Q32:R32"/>
    <mergeCell ref="C35:E35"/>
    <mergeCell ref="Q35:R35"/>
    <mergeCell ref="Q18:R18"/>
    <mergeCell ref="C3:K3"/>
    <mergeCell ref="M3:N3"/>
    <mergeCell ref="Q3:T3"/>
    <mergeCell ref="C4:K4"/>
    <mergeCell ref="Q4:T4"/>
  </mergeCells>
  <pageMargins left="0.7" right="0.7" top="0.75" bottom="0.75" header="0.3" footer="0.3"/>
  <pageSetup scale="4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9035-DD0D-474F-9B3A-C79FF2E893FC}">
  <sheetPr>
    <pageSetUpPr fitToPage="1"/>
  </sheetPr>
  <dimension ref="A1:X51"/>
  <sheetViews>
    <sheetView showGridLines="0" zoomScale="61" zoomScaleNormal="70" workbookViewId="0">
      <selection activeCell="D8" sqref="D8:D33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26.1328125" customWidth="1"/>
    <col min="14" max="14" width="28.59765625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2" spans="1:20" ht="14.65" thickBot="1" x14ac:dyDescent="0.5"/>
    <row r="3" spans="1:20" ht="35.25" customHeight="1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M3" s="174" t="s">
        <v>185</v>
      </c>
      <c r="N3" s="175"/>
      <c r="Q3" s="162" t="s">
        <v>25</v>
      </c>
      <c r="R3" s="163"/>
      <c r="S3" s="163"/>
      <c r="T3" s="163"/>
    </row>
    <row r="4" spans="1:20" ht="23.25" x14ac:dyDescent="0.7">
      <c r="C4" s="162" t="s">
        <v>224</v>
      </c>
      <c r="D4" s="163"/>
      <c r="E4" s="163"/>
      <c r="F4" s="163"/>
      <c r="G4" s="163"/>
      <c r="H4" s="163"/>
      <c r="I4" s="163"/>
      <c r="J4" s="163"/>
      <c r="K4" s="163"/>
      <c r="M4" s="47"/>
      <c r="N4" s="47"/>
      <c r="Q4" s="162" t="s">
        <v>225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>
      <c r="M7" s="97"/>
      <c r="N7" s="97"/>
    </row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135"/>
      <c r="I8" s="135"/>
      <c r="J8" s="81"/>
      <c r="K8" s="81"/>
      <c r="L8" s="48"/>
      <c r="M8" s="97">
        <f t="shared" ref="M8:N33" si="0">F8+H8+J8</f>
        <v>0</v>
      </c>
      <c r="N8" s="97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128"/>
      <c r="J9" s="84"/>
      <c r="K9" s="84"/>
      <c r="L9" s="48"/>
      <c r="M9" s="97">
        <f t="shared" si="0"/>
        <v>0</v>
      </c>
      <c r="N9" s="97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128"/>
      <c r="I10" s="128"/>
      <c r="J10" s="84"/>
      <c r="K10" s="84"/>
      <c r="L10" s="48"/>
      <c r="M10" s="97">
        <f t="shared" si="0"/>
        <v>0</v>
      </c>
      <c r="N10" s="97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128"/>
      <c r="I11" s="128"/>
      <c r="J11" s="84"/>
      <c r="K11" s="84"/>
      <c r="L11" s="48"/>
      <c r="M11" s="97">
        <f t="shared" si="0"/>
        <v>0</v>
      </c>
      <c r="N11" s="97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128"/>
      <c r="I12" s="128"/>
      <c r="J12" s="84"/>
      <c r="K12" s="84"/>
      <c r="L12" s="48"/>
      <c r="M12" s="97">
        <f t="shared" si="0"/>
        <v>0</v>
      </c>
      <c r="N12" s="97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128"/>
      <c r="I13" s="128"/>
      <c r="J13" s="84"/>
      <c r="K13" s="84"/>
      <c r="L13" s="48"/>
      <c r="M13" s="97">
        <f t="shared" si="0"/>
        <v>0</v>
      </c>
      <c r="N13" s="97">
        <f t="shared" si="0"/>
        <v>0</v>
      </c>
      <c r="Q13" s="25">
        <v>6</v>
      </c>
      <c r="R13" s="25" t="s">
        <v>192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128"/>
      <c r="I14" s="128"/>
      <c r="J14" s="84"/>
      <c r="K14" s="84"/>
      <c r="L14" s="48"/>
      <c r="M14" s="97">
        <f t="shared" si="0"/>
        <v>0</v>
      </c>
      <c r="N14" s="97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128"/>
      <c r="I15" s="128"/>
      <c r="J15" s="84"/>
      <c r="K15" s="84"/>
      <c r="L15" s="48"/>
      <c r="M15" s="97">
        <f t="shared" si="0"/>
        <v>0</v>
      </c>
      <c r="N15" s="97">
        <f t="shared" si="0"/>
        <v>0</v>
      </c>
      <c r="Q15" s="25">
        <v>8</v>
      </c>
      <c r="R15" s="25" t="s">
        <v>193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128"/>
      <c r="I16" s="128"/>
      <c r="J16" s="84"/>
      <c r="K16" s="84"/>
      <c r="L16" s="48"/>
      <c r="M16" s="97">
        <f t="shared" si="0"/>
        <v>0</v>
      </c>
      <c r="N16" s="97">
        <f t="shared" si="0"/>
        <v>0</v>
      </c>
      <c r="Q16" s="25">
        <v>9</v>
      </c>
      <c r="R16" s="25" t="s">
        <v>191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128"/>
      <c r="I17" s="128"/>
      <c r="J17" s="84"/>
      <c r="K17" s="84"/>
      <c r="L17" s="48"/>
      <c r="M17" s="97">
        <f t="shared" si="0"/>
        <v>0</v>
      </c>
      <c r="N17" s="97">
        <f t="shared" si="0"/>
        <v>0</v>
      </c>
      <c r="Q17" s="25">
        <v>10</v>
      </c>
      <c r="R17" s="25" t="s">
        <v>182</v>
      </c>
      <c r="S17" s="33"/>
      <c r="T17" s="25"/>
    </row>
    <row r="18" spans="1:24" ht="18" customHeight="1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128"/>
      <c r="I18" s="128"/>
      <c r="J18" s="84"/>
      <c r="K18" s="84"/>
      <c r="L18" s="48"/>
      <c r="M18" s="97">
        <f t="shared" si="0"/>
        <v>0</v>
      </c>
      <c r="N18" s="97">
        <f t="shared" si="0"/>
        <v>0</v>
      </c>
      <c r="Q18" s="155" t="s">
        <v>28</v>
      </c>
      <c r="R18" s="156"/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128"/>
      <c r="I19" s="128"/>
      <c r="J19" s="84"/>
      <c r="K19" s="84"/>
      <c r="L19" s="48"/>
      <c r="M19" s="97">
        <f t="shared" si="0"/>
        <v>0</v>
      </c>
      <c r="N19" s="97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/>
      <c r="G20" s="82"/>
      <c r="H20" s="128"/>
      <c r="I20" s="128"/>
      <c r="J20" s="84"/>
      <c r="K20" s="84"/>
      <c r="L20" s="48"/>
      <c r="M20" s="97">
        <f t="shared" si="0"/>
        <v>0</v>
      </c>
      <c r="N20" s="97">
        <f t="shared" si="0"/>
        <v>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128"/>
      <c r="I21" s="128"/>
      <c r="J21" s="84"/>
      <c r="K21" s="84"/>
      <c r="L21" s="48"/>
      <c r="M21" s="97">
        <f t="shared" si="0"/>
        <v>0</v>
      </c>
      <c r="N21" s="97">
        <f t="shared" si="0"/>
        <v>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128"/>
      <c r="I22" s="128"/>
      <c r="J22" s="84"/>
      <c r="K22" s="84"/>
      <c r="L22" s="48"/>
      <c r="M22" s="97">
        <f t="shared" si="0"/>
        <v>0</v>
      </c>
      <c r="N22" s="97">
        <f t="shared" si="0"/>
        <v>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128"/>
      <c r="I23" s="128"/>
      <c r="J23" s="84"/>
      <c r="K23" s="84"/>
      <c r="L23" s="48"/>
      <c r="M23" s="97">
        <f t="shared" si="0"/>
        <v>0</v>
      </c>
      <c r="N23" s="97">
        <f t="shared" si="0"/>
        <v>0</v>
      </c>
      <c r="Q23" s="25">
        <v>1</v>
      </c>
      <c r="R23" s="25" t="s">
        <v>19</v>
      </c>
      <c r="S23" s="32">
        <f>Oct!S26</f>
        <v>38166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128"/>
      <c r="I24" s="128"/>
      <c r="J24" s="84"/>
      <c r="K24" s="84"/>
      <c r="L24" s="48"/>
      <c r="M24" s="97">
        <f t="shared" si="0"/>
        <v>0</v>
      </c>
      <c r="N24" s="97">
        <f t="shared" si="0"/>
        <v>0</v>
      </c>
      <c r="Q24" s="25">
        <v>2</v>
      </c>
      <c r="R24" s="25" t="s">
        <v>119</v>
      </c>
      <c r="S24" s="32">
        <f>H35</f>
        <v>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128"/>
      <c r="I25" s="128"/>
      <c r="J25" s="84"/>
      <c r="K25" s="84"/>
      <c r="L25" s="48"/>
      <c r="M25" s="97">
        <f t="shared" si="0"/>
        <v>0</v>
      </c>
      <c r="N25" s="97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128"/>
      <c r="I26" s="128"/>
      <c r="J26" s="84"/>
      <c r="K26" s="84"/>
      <c r="L26" s="48"/>
      <c r="M26" s="97">
        <f t="shared" si="0"/>
        <v>0</v>
      </c>
      <c r="N26" s="97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128"/>
      <c r="I27" s="128"/>
      <c r="J27" s="84"/>
      <c r="K27" s="84"/>
      <c r="L27" s="48"/>
      <c r="M27" s="97">
        <f t="shared" si="0"/>
        <v>0</v>
      </c>
      <c r="N27" s="97">
        <f t="shared" si="0"/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128"/>
      <c r="I28" s="128"/>
      <c r="J28" s="84"/>
      <c r="K28" s="84"/>
      <c r="L28" s="48"/>
      <c r="M28" s="97">
        <f t="shared" si="0"/>
        <v>0</v>
      </c>
      <c r="N28" s="97">
        <f t="shared" si="0"/>
        <v>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128"/>
      <c r="I29" s="128"/>
      <c r="J29" s="84"/>
      <c r="K29" s="84"/>
      <c r="L29" s="48"/>
      <c r="M29" s="97">
        <f t="shared" si="0"/>
        <v>0</v>
      </c>
      <c r="N29" s="97">
        <f t="shared" si="0"/>
        <v>0</v>
      </c>
      <c r="Q29" s="25">
        <v>1</v>
      </c>
      <c r="R29" s="25" t="s">
        <v>19</v>
      </c>
      <c r="S29" s="32">
        <f>Oct!S32</f>
        <v>40780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128"/>
      <c r="I30" s="128"/>
      <c r="J30" s="84"/>
      <c r="K30" s="84"/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128"/>
      <c r="I31" s="128"/>
      <c r="J31" s="84"/>
      <c r="K31" s="84"/>
      <c r="L31" s="48"/>
      <c r="M31" s="97">
        <f t="shared" si="0"/>
        <v>0</v>
      </c>
      <c r="N31" s="97">
        <f t="shared" si="0"/>
        <v>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128"/>
      <c r="I32" s="128"/>
      <c r="J32" s="84"/>
      <c r="K32" s="84"/>
      <c r="L32" s="48"/>
      <c r="M32" s="97">
        <f t="shared" si="0"/>
        <v>0</v>
      </c>
      <c r="N32" s="97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136"/>
      <c r="I33" s="136"/>
      <c r="J33" s="87"/>
      <c r="K33" s="87"/>
      <c r="L33" s="48"/>
      <c r="M33" s="97">
        <f t="shared" si="0"/>
        <v>0</v>
      </c>
      <c r="N33" s="97">
        <f t="shared" si="0"/>
        <v>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>SUM(H8:H33)</f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  <c r="Q35" s="160" t="s">
        <v>183</v>
      </c>
      <c r="R35" s="161"/>
      <c r="S35" s="71">
        <f>S32+S26</f>
        <v>78946</v>
      </c>
    </row>
    <row r="37" spans="1:23" ht="22.5" x14ac:dyDescent="0.45">
      <c r="A37">
        <f>A40-Apr.!A36</f>
        <v>21300</v>
      </c>
      <c r="N37" s="131" t="b">
        <f>N35+M35=K35+J35+I35+H35+G35+F35</f>
        <v>1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S38" s="32">
        <f>S26</f>
        <v>38166</v>
      </c>
    </row>
    <row r="39" spans="1:23" ht="18" x14ac:dyDescent="0.45">
      <c r="S39" s="32">
        <f>S32</f>
        <v>40780</v>
      </c>
    </row>
    <row r="40" spans="1:23" ht="21.95" customHeight="1" x14ac:dyDescent="0.45">
      <c r="A40">
        <f>SUM(A8:A33)</f>
        <v>33100</v>
      </c>
      <c r="F40" s="31">
        <f>F35+H35</f>
        <v>0</v>
      </c>
    </row>
    <row r="41" spans="1:23" ht="14.65" customHeight="1" thickBot="1" x14ac:dyDescent="0.5">
      <c r="I41" s="31">
        <v>50000</v>
      </c>
    </row>
    <row r="42" spans="1:23" ht="22.9" thickBot="1" x14ac:dyDescent="0.5">
      <c r="D42">
        <f>-A40</f>
        <v>-33100</v>
      </c>
      <c r="I42" s="31">
        <f>SUM(A8:A33)</f>
        <v>33100</v>
      </c>
      <c r="R42" s="69" t="s">
        <v>184</v>
      </c>
      <c r="S42" s="69" t="s">
        <v>17</v>
      </c>
    </row>
    <row r="43" spans="1:23" ht="18" x14ac:dyDescent="0.45">
      <c r="G43">
        <v>11800</v>
      </c>
      <c r="I43" s="31">
        <f>SUM(I41:I42)</f>
        <v>83100</v>
      </c>
      <c r="K43">
        <f>-2600-600-600-5800-3000-600-400-800-800-500-1200</f>
        <v>-16900</v>
      </c>
      <c r="R43" s="25" t="s">
        <v>132</v>
      </c>
      <c r="S43" s="126">
        <f>Oct!S43</f>
        <v>52478</v>
      </c>
      <c r="T43" s="32"/>
    </row>
    <row r="44" spans="1:23" ht="18" x14ac:dyDescent="0.45">
      <c r="I44">
        <v>-20000</v>
      </c>
      <c r="R44" s="25" t="s">
        <v>133</v>
      </c>
      <c r="S44" s="126">
        <f>Oct!S44</f>
        <v>26468</v>
      </c>
      <c r="T44" s="32"/>
    </row>
    <row r="45" spans="1:23" ht="14.65" thickBot="1" x14ac:dyDescent="0.5">
      <c r="I45" s="31">
        <f>SUM(I43:I44)+S43</f>
        <v>115578</v>
      </c>
    </row>
    <row r="46" spans="1:23" ht="22.9" thickBot="1" x14ac:dyDescent="0.5">
      <c r="M46">
        <f>119</f>
        <v>119</v>
      </c>
      <c r="R46" s="68" t="str">
        <f>Q32</f>
        <v>الإجمالي</v>
      </c>
      <c r="S46" s="127">
        <f>SUM(S43:S45)</f>
        <v>78946</v>
      </c>
      <c r="T46" s="71"/>
      <c r="W46">
        <v>86673</v>
      </c>
    </row>
    <row r="47" spans="1:23" ht="14.65" thickBot="1" x14ac:dyDescent="0.5">
      <c r="J47" s="129">
        <f>S43-Aug!S43</f>
        <v>0</v>
      </c>
      <c r="N47">
        <f>-56900-1200-1000-500-1000-2600-600-600-5800-3000-400-800-800-500-1200-1400+20000</f>
        <v>-58300</v>
      </c>
      <c r="S47" s="64"/>
    </row>
    <row r="48" spans="1:23" ht="22.9" thickBot="1" x14ac:dyDescent="0.5">
      <c r="H48">
        <v>-43578</v>
      </c>
      <c r="J48" s="129">
        <f>S44-Aug!S44</f>
        <v>0</v>
      </c>
      <c r="R48" s="68" t="s">
        <v>134</v>
      </c>
      <c r="S48" s="119">
        <f>S46+S35</f>
        <v>157892</v>
      </c>
    </row>
    <row r="49" spans="6:10" x14ac:dyDescent="0.45">
      <c r="F49">
        <v>400</v>
      </c>
      <c r="H49">
        <f>-H48</f>
        <v>43578</v>
      </c>
      <c r="J49" s="129">
        <f>SUM(J47:J48)+H35+I35</f>
        <v>0</v>
      </c>
    </row>
    <row r="50" spans="6:10" x14ac:dyDescent="0.45">
      <c r="F50">
        <f>600*6</f>
        <v>3600</v>
      </c>
    </row>
    <row r="51" spans="6:10" x14ac:dyDescent="0.45">
      <c r="F51">
        <v>1000</v>
      </c>
    </row>
  </sheetData>
  <autoFilter ref="Q7:S18" xr:uid="{6355F16A-4814-4E97-8933-299AD5A8013A}"/>
  <mergeCells count="11">
    <mergeCell ref="Q20:S20"/>
    <mergeCell ref="Q26:R26"/>
    <mergeCell ref="Q32:R32"/>
    <mergeCell ref="C35:E35"/>
    <mergeCell ref="Q35:R35"/>
    <mergeCell ref="Q18:R18"/>
    <mergeCell ref="C3:K3"/>
    <mergeCell ref="M3:N3"/>
    <mergeCell ref="Q3:T3"/>
    <mergeCell ref="C4:K4"/>
    <mergeCell ref="Q4:T4"/>
  </mergeCells>
  <pageMargins left="0.7" right="0.7" top="0.75" bottom="0.75" header="0.3" footer="0.3"/>
  <pageSetup scale="4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AA60-2FEA-4BEE-AC69-B04BF19CF5EF}">
  <sheetPr>
    <pageSetUpPr fitToPage="1"/>
  </sheetPr>
  <dimension ref="A1:X51"/>
  <sheetViews>
    <sheetView showGridLines="0" zoomScale="61" zoomScaleNormal="70" workbookViewId="0">
      <selection activeCell="D8" sqref="D8:D33"/>
    </sheetView>
  </sheetViews>
  <sheetFormatPr defaultColWidth="9.1328125" defaultRowHeight="14.25" x14ac:dyDescent="0.45"/>
  <cols>
    <col min="1" max="1" width="10.59765625" customWidth="1"/>
    <col min="2" max="2" width="11" customWidth="1"/>
    <col min="3" max="3" width="6.3984375" customWidth="1"/>
    <col min="4" max="4" width="29.59765625" customWidth="1"/>
    <col min="5" max="5" width="11.265625" customWidth="1"/>
    <col min="6" max="6" width="15.265625" customWidth="1"/>
    <col min="7" max="8" width="13.86328125" customWidth="1"/>
    <col min="9" max="9" width="12.1328125" customWidth="1"/>
    <col min="10" max="10" width="15" customWidth="1"/>
    <col min="11" max="11" width="15.265625" customWidth="1"/>
    <col min="12" max="12" width="1.265625" customWidth="1"/>
    <col min="13" max="13" width="26.1328125" customWidth="1"/>
    <col min="14" max="14" width="28.59765625" customWidth="1"/>
    <col min="15" max="15" width="14.59765625" customWidth="1"/>
    <col min="16" max="16" width="9.1328125" customWidth="1"/>
    <col min="17" max="17" width="14.86328125" customWidth="1"/>
    <col min="18" max="18" width="39.265625" bestFit="1" customWidth="1"/>
    <col min="19" max="19" width="20.1328125" customWidth="1"/>
    <col min="20" max="20" width="31.86328125" hidden="1" customWidth="1"/>
    <col min="21" max="21" width="2.3984375" customWidth="1"/>
  </cols>
  <sheetData>
    <row r="1" spans="1:20" ht="6.6" customHeight="1" x14ac:dyDescent="0.45">
      <c r="B1">
        <v>-1</v>
      </c>
    </row>
    <row r="2" spans="1:20" ht="14.65" thickBot="1" x14ac:dyDescent="0.5"/>
    <row r="3" spans="1:20" ht="35.25" customHeight="1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M3" s="174" t="s">
        <v>185</v>
      </c>
      <c r="N3" s="175"/>
      <c r="Q3" s="162" t="s">
        <v>25</v>
      </c>
      <c r="R3" s="163"/>
      <c r="S3" s="163"/>
      <c r="T3" s="163"/>
    </row>
    <row r="4" spans="1:20" ht="23.25" x14ac:dyDescent="0.7">
      <c r="C4" s="162" t="s">
        <v>226</v>
      </c>
      <c r="D4" s="163"/>
      <c r="E4" s="163"/>
      <c r="F4" s="163"/>
      <c r="G4" s="163"/>
      <c r="H4" s="163"/>
      <c r="I4" s="163"/>
      <c r="J4" s="163"/>
      <c r="K4" s="163"/>
      <c r="M4" s="47"/>
      <c r="N4" s="47"/>
      <c r="Q4" s="162" t="s">
        <v>227</v>
      </c>
      <c r="R4" s="163"/>
      <c r="S4" s="163"/>
      <c r="T4" s="163"/>
    </row>
    <row r="5" spans="1:20" ht="4.5" customHeight="1" thickBot="1" x14ac:dyDescent="0.5"/>
    <row r="6" spans="1:20" ht="34.9" customHeight="1" thickBot="1" x14ac:dyDescent="0.5">
      <c r="C6" s="27" t="s">
        <v>16</v>
      </c>
      <c r="D6" s="28" t="s">
        <v>26</v>
      </c>
      <c r="E6" s="29" t="s">
        <v>27</v>
      </c>
      <c r="F6" s="29" t="s">
        <v>105</v>
      </c>
      <c r="G6" s="29" t="s">
        <v>106</v>
      </c>
      <c r="H6" s="29" t="s">
        <v>107</v>
      </c>
      <c r="I6" s="29" t="s">
        <v>108</v>
      </c>
      <c r="J6" s="29" t="s">
        <v>109</v>
      </c>
      <c r="K6" s="29" t="s">
        <v>110</v>
      </c>
      <c r="M6" s="42" t="s">
        <v>111</v>
      </c>
      <c r="N6" s="42" t="s">
        <v>112</v>
      </c>
      <c r="Q6" s="23" t="s">
        <v>16</v>
      </c>
      <c r="R6" s="24" t="s">
        <v>81</v>
      </c>
      <c r="S6" s="24" t="s">
        <v>17</v>
      </c>
      <c r="T6" s="24" t="s">
        <v>113</v>
      </c>
    </row>
    <row r="7" spans="1:20" ht="4.5" customHeight="1" thickBot="1" x14ac:dyDescent="0.5">
      <c r="M7" s="97"/>
      <c r="N7" s="97"/>
    </row>
    <row r="8" spans="1:20" ht="18.75" thickTop="1" thickBot="1" x14ac:dyDescent="0.5">
      <c r="A8">
        <f>1500+500</f>
        <v>2000</v>
      </c>
      <c r="C8" s="88">
        <v>1</v>
      </c>
      <c r="D8" s="89" t="s">
        <v>29</v>
      </c>
      <c r="E8" s="90" t="s">
        <v>30</v>
      </c>
      <c r="F8" s="80"/>
      <c r="G8" s="80"/>
      <c r="H8" s="135"/>
      <c r="I8" s="135"/>
      <c r="J8" s="81"/>
      <c r="K8" s="81"/>
      <c r="L8" s="48"/>
      <c r="M8" s="97">
        <f t="shared" ref="M8:N33" si="0">F8+H8+J8</f>
        <v>0</v>
      </c>
      <c r="N8" s="97">
        <f t="shared" si="0"/>
        <v>0</v>
      </c>
      <c r="Q8" s="25">
        <v>1</v>
      </c>
      <c r="R8" s="25" t="s">
        <v>82</v>
      </c>
      <c r="S8" s="33"/>
      <c r="T8" s="25" t="s">
        <v>114</v>
      </c>
    </row>
    <row r="9" spans="1:20" ht="18.399999999999999" thickBot="1" x14ac:dyDescent="0.5">
      <c r="C9" s="93">
        <v>2</v>
      </c>
      <c r="D9" s="94" t="s">
        <v>194</v>
      </c>
      <c r="E9" s="95" t="s">
        <v>31</v>
      </c>
      <c r="F9" s="82"/>
      <c r="G9" s="82"/>
      <c r="H9" s="128"/>
      <c r="I9" s="128"/>
      <c r="J9" s="84"/>
      <c r="K9" s="84"/>
      <c r="L9" s="48"/>
      <c r="M9" s="97">
        <f t="shared" si="0"/>
        <v>0</v>
      </c>
      <c r="N9" s="97">
        <f t="shared" si="0"/>
        <v>0</v>
      </c>
      <c r="Q9" s="25">
        <v>2</v>
      </c>
      <c r="R9" s="25" t="s">
        <v>122</v>
      </c>
      <c r="S9" s="67"/>
      <c r="T9" s="25"/>
    </row>
    <row r="10" spans="1:20" ht="18.399999999999999" thickBot="1" x14ac:dyDescent="0.5">
      <c r="C10" s="93">
        <v>3</v>
      </c>
      <c r="D10" s="98" t="s">
        <v>32</v>
      </c>
      <c r="E10" s="99" t="s">
        <v>33</v>
      </c>
      <c r="F10" s="82"/>
      <c r="G10" s="82"/>
      <c r="H10" s="128"/>
      <c r="I10" s="128"/>
      <c r="J10" s="84"/>
      <c r="K10" s="84"/>
      <c r="L10" s="48"/>
      <c r="M10" s="97">
        <f t="shared" si="0"/>
        <v>0</v>
      </c>
      <c r="N10" s="97">
        <f t="shared" si="0"/>
        <v>0</v>
      </c>
      <c r="Q10" s="25">
        <v>3</v>
      </c>
      <c r="R10" s="25" t="s">
        <v>84</v>
      </c>
      <c r="S10" s="67"/>
      <c r="T10" s="25" t="s">
        <v>114</v>
      </c>
    </row>
    <row r="11" spans="1:20" ht="18.399999999999999" thickBot="1" x14ac:dyDescent="0.5">
      <c r="A11">
        <v>1000</v>
      </c>
      <c r="C11" s="93">
        <v>4</v>
      </c>
      <c r="D11" s="98" t="s">
        <v>34</v>
      </c>
      <c r="E11" s="99" t="s">
        <v>35</v>
      </c>
      <c r="F11" s="82"/>
      <c r="G11" s="82"/>
      <c r="H11" s="128"/>
      <c r="I11" s="128"/>
      <c r="J11" s="84"/>
      <c r="K11" s="84"/>
      <c r="L11" s="48"/>
      <c r="M11" s="97">
        <f t="shared" si="0"/>
        <v>0</v>
      </c>
      <c r="N11" s="97">
        <f t="shared" si="0"/>
        <v>0</v>
      </c>
      <c r="Q11" s="25">
        <v>4</v>
      </c>
      <c r="R11" s="25" t="s">
        <v>85</v>
      </c>
      <c r="S11" s="67"/>
      <c r="T11" s="25"/>
    </row>
    <row r="12" spans="1:20" ht="18.399999999999999" thickBot="1" x14ac:dyDescent="0.5">
      <c r="A12">
        <v>1200</v>
      </c>
      <c r="C12" s="93">
        <v>5</v>
      </c>
      <c r="D12" s="98" t="s">
        <v>36</v>
      </c>
      <c r="E12" s="99" t="s">
        <v>37</v>
      </c>
      <c r="F12" s="82"/>
      <c r="G12" s="82"/>
      <c r="H12" s="128"/>
      <c r="I12" s="128"/>
      <c r="J12" s="84"/>
      <c r="K12" s="84"/>
      <c r="L12" s="48"/>
      <c r="M12" s="97">
        <f t="shared" si="0"/>
        <v>0</v>
      </c>
      <c r="N12" s="97">
        <f t="shared" si="0"/>
        <v>0</v>
      </c>
      <c r="Q12" s="25">
        <v>5</v>
      </c>
      <c r="R12" s="25" t="s">
        <v>86</v>
      </c>
      <c r="S12" s="67"/>
      <c r="T12" s="25" t="s">
        <v>116</v>
      </c>
    </row>
    <row r="13" spans="1:20" ht="18.399999999999999" thickBot="1" x14ac:dyDescent="0.5">
      <c r="A13">
        <v>1200</v>
      </c>
      <c r="C13" s="93">
        <v>6</v>
      </c>
      <c r="D13" s="98" t="s">
        <v>38</v>
      </c>
      <c r="E13" s="99" t="s">
        <v>39</v>
      </c>
      <c r="F13" s="82"/>
      <c r="G13" s="82"/>
      <c r="H13" s="128"/>
      <c r="I13" s="128"/>
      <c r="J13" s="84"/>
      <c r="K13" s="84"/>
      <c r="L13" s="48"/>
      <c r="M13" s="97">
        <f t="shared" si="0"/>
        <v>0</v>
      </c>
      <c r="N13" s="97">
        <f t="shared" si="0"/>
        <v>0</v>
      </c>
      <c r="Q13" s="25">
        <v>6</v>
      </c>
      <c r="R13" s="25" t="s">
        <v>197</v>
      </c>
      <c r="S13" s="67"/>
      <c r="T13" s="25" t="s">
        <v>114</v>
      </c>
    </row>
    <row r="14" spans="1:20" ht="18.399999999999999" thickBot="1" x14ac:dyDescent="0.5">
      <c r="C14" s="93">
        <v>7</v>
      </c>
      <c r="D14" s="98" t="s">
        <v>40</v>
      </c>
      <c r="E14" s="99" t="s">
        <v>41</v>
      </c>
      <c r="F14" s="82"/>
      <c r="G14" s="82"/>
      <c r="H14" s="128"/>
      <c r="I14" s="128"/>
      <c r="J14" s="84"/>
      <c r="K14" s="84"/>
      <c r="L14" s="48"/>
      <c r="M14" s="97">
        <f t="shared" si="0"/>
        <v>0</v>
      </c>
      <c r="N14" s="97">
        <f t="shared" si="0"/>
        <v>0</v>
      </c>
      <c r="Q14" s="25">
        <v>7</v>
      </c>
      <c r="R14" s="25" t="s">
        <v>126</v>
      </c>
      <c r="S14" s="67"/>
      <c r="T14" s="25" t="s">
        <v>114</v>
      </c>
    </row>
    <row r="15" spans="1:20" ht="18.399999999999999" thickBot="1" x14ac:dyDescent="0.5">
      <c r="C15" s="100">
        <v>8</v>
      </c>
      <c r="D15" s="98" t="s">
        <v>42</v>
      </c>
      <c r="E15" s="98" t="s">
        <v>43</v>
      </c>
      <c r="F15" s="82"/>
      <c r="G15" s="82"/>
      <c r="H15" s="128"/>
      <c r="I15" s="128"/>
      <c r="J15" s="84"/>
      <c r="K15" s="84"/>
      <c r="L15" s="48"/>
      <c r="M15" s="97">
        <f t="shared" si="0"/>
        <v>0</v>
      </c>
      <c r="N15" s="97">
        <f t="shared" si="0"/>
        <v>0</v>
      </c>
      <c r="Q15" s="25">
        <v>8</v>
      </c>
      <c r="R15" s="25" t="s">
        <v>196</v>
      </c>
      <c r="S15" s="67"/>
      <c r="T15" s="25"/>
    </row>
    <row r="16" spans="1:20" ht="18.399999999999999" thickBot="1" x14ac:dyDescent="0.5">
      <c r="C16" s="100">
        <v>9</v>
      </c>
      <c r="D16" s="98" t="s">
        <v>44</v>
      </c>
      <c r="E16" s="98" t="s">
        <v>45</v>
      </c>
      <c r="F16" s="82"/>
      <c r="G16" s="82"/>
      <c r="H16" s="128"/>
      <c r="I16" s="128"/>
      <c r="J16" s="84"/>
      <c r="K16" s="84"/>
      <c r="L16" s="48"/>
      <c r="M16" s="97">
        <f t="shared" si="0"/>
        <v>0</v>
      </c>
      <c r="N16" s="97">
        <f t="shared" si="0"/>
        <v>0</v>
      </c>
      <c r="Q16" s="25">
        <v>9</v>
      </c>
      <c r="R16" s="25" t="s">
        <v>195</v>
      </c>
      <c r="S16" s="67"/>
      <c r="T16" s="25"/>
    </row>
    <row r="17" spans="1:24" ht="18.399999999999999" thickBot="1" x14ac:dyDescent="0.5">
      <c r="A17" s="125">
        <v>5800</v>
      </c>
      <c r="C17" s="100">
        <v>10</v>
      </c>
      <c r="D17" s="98" t="s">
        <v>46</v>
      </c>
      <c r="E17" s="98" t="s">
        <v>47</v>
      </c>
      <c r="F17" s="82"/>
      <c r="G17" s="82"/>
      <c r="H17" s="146"/>
      <c r="I17" s="146"/>
      <c r="J17" s="84"/>
      <c r="K17" s="84"/>
      <c r="L17" s="48"/>
      <c r="M17" s="97">
        <f t="shared" si="0"/>
        <v>0</v>
      </c>
      <c r="N17" s="97">
        <f t="shared" si="0"/>
        <v>0</v>
      </c>
      <c r="Q17" s="25">
        <v>10</v>
      </c>
      <c r="R17" s="25" t="s">
        <v>182</v>
      </c>
      <c r="S17" s="33"/>
      <c r="T17" s="25"/>
    </row>
    <row r="18" spans="1:24" ht="18" customHeight="1" thickBot="1" x14ac:dyDescent="0.5">
      <c r="A18">
        <v>3000</v>
      </c>
      <c r="C18" s="100">
        <v>11</v>
      </c>
      <c r="D18" s="98" t="s">
        <v>48</v>
      </c>
      <c r="E18" s="98" t="s">
        <v>49</v>
      </c>
      <c r="F18" s="82"/>
      <c r="G18" s="82"/>
      <c r="H18" s="128"/>
      <c r="I18" s="128"/>
      <c r="J18" s="84"/>
      <c r="K18" s="84"/>
      <c r="L18" s="48"/>
      <c r="M18" s="97">
        <f t="shared" si="0"/>
        <v>0</v>
      </c>
      <c r="N18" s="97">
        <f t="shared" si="0"/>
        <v>0</v>
      </c>
      <c r="Q18" s="155" t="s">
        <v>28</v>
      </c>
      <c r="R18" s="156"/>
      <c r="S18" s="35">
        <f>SUM(S8:S17)</f>
        <v>0</v>
      </c>
      <c r="T18" s="24"/>
    </row>
    <row r="19" spans="1:24" ht="17.649999999999999" thickBot="1" x14ac:dyDescent="0.5">
      <c r="A19">
        <v>1800</v>
      </c>
      <c r="C19" s="100">
        <v>12</v>
      </c>
      <c r="D19" s="98" t="s">
        <v>50</v>
      </c>
      <c r="E19" s="98" t="s">
        <v>51</v>
      </c>
      <c r="F19" s="82"/>
      <c r="G19" s="82"/>
      <c r="H19" s="128"/>
      <c r="I19" s="128"/>
      <c r="J19" s="84"/>
      <c r="K19" s="84"/>
      <c r="L19" s="48"/>
      <c r="M19" s="97">
        <f t="shared" si="0"/>
        <v>0</v>
      </c>
      <c r="N19" s="97">
        <f t="shared" si="0"/>
        <v>0</v>
      </c>
    </row>
    <row r="20" spans="1:24" ht="23.65" thickBot="1" x14ac:dyDescent="0.75">
      <c r="C20" s="100">
        <v>13</v>
      </c>
      <c r="D20" s="98" t="s">
        <v>52</v>
      </c>
      <c r="E20" s="98" t="s">
        <v>53</v>
      </c>
      <c r="F20" s="82"/>
      <c r="G20" s="82"/>
      <c r="H20" s="128"/>
      <c r="I20" s="128"/>
      <c r="J20" s="84"/>
      <c r="K20" s="84"/>
      <c r="L20" s="48"/>
      <c r="M20" s="97">
        <f t="shared" si="0"/>
        <v>0</v>
      </c>
      <c r="N20" s="97">
        <f t="shared" si="0"/>
        <v>0</v>
      </c>
      <c r="Q20" s="162" t="s">
        <v>117</v>
      </c>
      <c r="R20" s="163"/>
      <c r="S20" s="163"/>
    </row>
    <row r="21" spans="1:24" ht="17.649999999999999" thickBot="1" x14ac:dyDescent="0.5">
      <c r="A21">
        <f>400+3100</f>
        <v>3500</v>
      </c>
      <c r="C21" s="100">
        <v>14</v>
      </c>
      <c r="D21" s="98" t="s">
        <v>169</v>
      </c>
      <c r="E21" s="98" t="s">
        <v>55</v>
      </c>
      <c r="F21" s="82"/>
      <c r="G21" s="82"/>
      <c r="H21" s="128"/>
      <c r="I21" s="128"/>
      <c r="J21" s="84"/>
      <c r="K21" s="84"/>
      <c r="L21" s="48"/>
      <c r="M21" s="97">
        <f t="shared" si="0"/>
        <v>0</v>
      </c>
      <c r="N21" s="97">
        <f t="shared" si="0"/>
        <v>0</v>
      </c>
    </row>
    <row r="22" spans="1:24" ht="22.9" thickBot="1" x14ac:dyDescent="0.5">
      <c r="A22" s="114">
        <v>1500</v>
      </c>
      <c r="C22" s="100">
        <v>15</v>
      </c>
      <c r="D22" s="98" t="s">
        <v>56</v>
      </c>
      <c r="E22" s="98" t="s">
        <v>57</v>
      </c>
      <c r="F22" s="82"/>
      <c r="G22" s="82"/>
      <c r="H22" s="128"/>
      <c r="I22" s="128"/>
      <c r="J22" s="84"/>
      <c r="K22" s="84"/>
      <c r="L22" s="48"/>
      <c r="M22" s="97">
        <f t="shared" si="0"/>
        <v>0</v>
      </c>
      <c r="N22" s="97">
        <f t="shared" si="0"/>
        <v>0</v>
      </c>
      <c r="Q22" s="70" t="s">
        <v>16</v>
      </c>
      <c r="R22" s="69" t="s">
        <v>129</v>
      </c>
      <c r="S22" s="69" t="s">
        <v>17</v>
      </c>
    </row>
    <row r="23" spans="1:24" ht="25.5" customHeight="1" thickBot="1" x14ac:dyDescent="0.5">
      <c r="C23" s="100">
        <v>16</v>
      </c>
      <c r="D23" s="98" t="s">
        <v>58</v>
      </c>
      <c r="E23" s="98" t="s">
        <v>59</v>
      </c>
      <c r="F23" s="82"/>
      <c r="G23" s="82"/>
      <c r="H23" s="128"/>
      <c r="I23" s="128"/>
      <c r="J23" s="84"/>
      <c r="K23" s="84"/>
      <c r="L23" s="48"/>
      <c r="M23" s="97">
        <f t="shared" si="0"/>
        <v>0</v>
      </c>
      <c r="N23" s="97">
        <f t="shared" si="0"/>
        <v>0</v>
      </c>
      <c r="Q23" s="25">
        <v>1</v>
      </c>
      <c r="R23" s="25" t="s">
        <v>19</v>
      </c>
      <c r="S23" s="32">
        <f>Nov!S26</f>
        <v>38166</v>
      </c>
    </row>
    <row r="24" spans="1:24" ht="18.399999999999999" thickBot="1" x14ac:dyDescent="0.5">
      <c r="A24">
        <v>1200</v>
      </c>
      <c r="C24" s="100">
        <v>17</v>
      </c>
      <c r="D24" s="98" t="s">
        <v>60</v>
      </c>
      <c r="E24" s="98" t="s">
        <v>61</v>
      </c>
      <c r="F24" s="82"/>
      <c r="G24" s="82"/>
      <c r="H24" s="146"/>
      <c r="I24" s="146"/>
      <c r="J24" s="84"/>
      <c r="K24" s="84"/>
      <c r="L24" s="48"/>
      <c r="M24" s="97">
        <f t="shared" si="0"/>
        <v>0</v>
      </c>
      <c r="N24" s="97">
        <f t="shared" si="0"/>
        <v>0</v>
      </c>
      <c r="Q24" s="25">
        <v>2</v>
      </c>
      <c r="R24" s="25" t="s">
        <v>119</v>
      </c>
      <c r="S24" s="32">
        <f>H35</f>
        <v>0</v>
      </c>
    </row>
    <row r="25" spans="1:24" ht="18.399999999999999" thickBot="1" x14ac:dyDescent="0.5">
      <c r="C25" s="100">
        <v>18</v>
      </c>
      <c r="D25" s="98" t="s">
        <v>181</v>
      </c>
      <c r="E25" s="98" t="s">
        <v>63</v>
      </c>
      <c r="F25" s="82"/>
      <c r="G25" s="82"/>
      <c r="H25" s="128"/>
      <c r="I25" s="128"/>
      <c r="J25" s="84"/>
      <c r="K25" s="84"/>
      <c r="L25" s="48"/>
      <c r="M25" s="97">
        <f t="shared" si="0"/>
        <v>0</v>
      </c>
      <c r="N25" s="97">
        <f t="shared" si="0"/>
        <v>0</v>
      </c>
      <c r="Q25" s="25">
        <v>3</v>
      </c>
      <c r="R25" s="25" t="s">
        <v>120</v>
      </c>
      <c r="S25" s="33">
        <f>S18</f>
        <v>0</v>
      </c>
    </row>
    <row r="26" spans="1:24" ht="22.9" thickBot="1" x14ac:dyDescent="0.5">
      <c r="A26" s="114">
        <v>600</v>
      </c>
      <c r="C26" s="100">
        <v>19</v>
      </c>
      <c r="D26" s="98" t="s">
        <v>64</v>
      </c>
      <c r="E26" s="98" t="s">
        <v>65</v>
      </c>
      <c r="F26" s="82"/>
      <c r="G26" s="82"/>
      <c r="H26" s="128"/>
      <c r="I26" s="128"/>
      <c r="J26" s="84"/>
      <c r="K26" s="84"/>
      <c r="L26" s="48"/>
      <c r="M26" s="97">
        <f t="shared" si="0"/>
        <v>0</v>
      </c>
      <c r="N26" s="97">
        <f t="shared" si="0"/>
        <v>0</v>
      </c>
      <c r="Q26" s="155" t="s">
        <v>28</v>
      </c>
      <c r="R26" s="156"/>
      <c r="S26" s="71">
        <f>SUM(S23:S25)</f>
        <v>38166</v>
      </c>
    </row>
    <row r="27" spans="1:24" ht="17.649999999999999" thickBot="1" x14ac:dyDescent="0.5">
      <c r="A27">
        <f>3100+400</f>
        <v>3500</v>
      </c>
      <c r="C27" s="100">
        <v>20</v>
      </c>
      <c r="D27" s="98" t="s">
        <v>130</v>
      </c>
      <c r="E27" s="98" t="s">
        <v>67</v>
      </c>
      <c r="F27" s="82"/>
      <c r="G27" s="82"/>
      <c r="H27" s="128"/>
      <c r="I27" s="128"/>
      <c r="J27" s="84"/>
      <c r="K27" s="84"/>
      <c r="L27" s="48"/>
      <c r="M27" s="97">
        <f t="shared" si="0"/>
        <v>0</v>
      </c>
      <c r="N27" s="97">
        <f t="shared" si="0"/>
        <v>0</v>
      </c>
    </row>
    <row r="28" spans="1:24" ht="22.9" thickBot="1" x14ac:dyDescent="0.5">
      <c r="C28" s="100">
        <v>21</v>
      </c>
      <c r="D28" s="98" t="s">
        <v>68</v>
      </c>
      <c r="E28" s="98" t="s">
        <v>69</v>
      </c>
      <c r="F28" s="82"/>
      <c r="G28" s="82"/>
      <c r="H28" s="128"/>
      <c r="I28" s="128"/>
      <c r="J28" s="84"/>
      <c r="K28" s="84"/>
      <c r="L28" s="48"/>
      <c r="M28" s="97">
        <f t="shared" si="0"/>
        <v>0</v>
      </c>
      <c r="N28" s="97">
        <f t="shared" si="0"/>
        <v>0</v>
      </c>
      <c r="Q28" s="70" t="s">
        <v>16</v>
      </c>
      <c r="R28" s="69" t="s">
        <v>118</v>
      </c>
      <c r="S28" s="69" t="s">
        <v>17</v>
      </c>
    </row>
    <row r="29" spans="1:24" ht="18.399999999999999" thickBot="1" x14ac:dyDescent="0.5">
      <c r="A29">
        <v>1200</v>
      </c>
      <c r="C29" s="100">
        <v>22</v>
      </c>
      <c r="D29" s="98" t="s">
        <v>70</v>
      </c>
      <c r="E29" s="98" t="s">
        <v>71</v>
      </c>
      <c r="F29" s="82"/>
      <c r="G29" s="82"/>
      <c r="H29" s="128"/>
      <c r="I29" s="128"/>
      <c r="J29" s="84"/>
      <c r="K29" s="84"/>
      <c r="L29" s="48"/>
      <c r="M29" s="97">
        <f t="shared" si="0"/>
        <v>0</v>
      </c>
      <c r="N29" s="97">
        <f t="shared" si="0"/>
        <v>0</v>
      </c>
      <c r="Q29" s="25">
        <v>1</v>
      </c>
      <c r="R29" s="25" t="s">
        <v>19</v>
      </c>
      <c r="S29" s="32">
        <f>Nov!S32</f>
        <v>40780</v>
      </c>
    </row>
    <row r="30" spans="1:24" ht="18.399999999999999" thickBot="1" x14ac:dyDescent="0.5">
      <c r="C30" s="100">
        <v>23</v>
      </c>
      <c r="D30" s="98" t="s">
        <v>72</v>
      </c>
      <c r="E30" s="98" t="s">
        <v>73</v>
      </c>
      <c r="F30" s="82"/>
      <c r="G30" s="82"/>
      <c r="H30" s="128"/>
      <c r="I30" s="128"/>
      <c r="J30" s="84"/>
      <c r="K30" s="84"/>
      <c r="L30" s="48"/>
      <c r="M30" s="97">
        <f t="shared" si="0"/>
        <v>0</v>
      </c>
      <c r="N30" s="97">
        <f t="shared" si="0"/>
        <v>0</v>
      </c>
      <c r="Q30" s="25">
        <v>2</v>
      </c>
      <c r="R30" s="25" t="s">
        <v>119</v>
      </c>
      <c r="S30" s="32">
        <f>I35</f>
        <v>0</v>
      </c>
    </row>
    <row r="31" spans="1:24" ht="18.399999999999999" thickBot="1" x14ac:dyDescent="0.5">
      <c r="A31">
        <f>1800+600</f>
        <v>2400</v>
      </c>
      <c r="C31" s="100">
        <v>24</v>
      </c>
      <c r="D31" s="98" t="s">
        <v>74</v>
      </c>
      <c r="E31" s="98" t="s">
        <v>75</v>
      </c>
      <c r="F31" s="82"/>
      <c r="G31" s="82"/>
      <c r="H31" s="128"/>
      <c r="I31" s="128"/>
      <c r="J31" s="84"/>
      <c r="K31" s="84"/>
      <c r="L31" s="48"/>
      <c r="M31" s="97">
        <f t="shared" si="0"/>
        <v>0</v>
      </c>
      <c r="N31" s="97">
        <f t="shared" si="0"/>
        <v>0</v>
      </c>
      <c r="Q31" s="25">
        <v>3</v>
      </c>
      <c r="R31" s="25" t="s">
        <v>120</v>
      </c>
      <c r="S31" s="33">
        <v>0</v>
      </c>
    </row>
    <row r="32" spans="1:24" ht="22.9" thickBot="1" x14ac:dyDescent="0.5">
      <c r="A32" s="66">
        <v>2400</v>
      </c>
      <c r="C32" s="93">
        <v>25</v>
      </c>
      <c r="D32" s="98" t="s">
        <v>76</v>
      </c>
      <c r="E32" s="101" t="s">
        <v>77</v>
      </c>
      <c r="F32" s="82"/>
      <c r="G32" s="82"/>
      <c r="H32" s="128"/>
      <c r="I32" s="128"/>
      <c r="J32" s="84"/>
      <c r="K32" s="84"/>
      <c r="L32" s="48"/>
      <c r="M32" s="97">
        <f t="shared" si="0"/>
        <v>0</v>
      </c>
      <c r="N32" s="97">
        <f t="shared" si="0"/>
        <v>0</v>
      </c>
      <c r="Q32" s="155" t="s">
        <v>28</v>
      </c>
      <c r="R32" s="156"/>
      <c r="S32" s="71">
        <f>SUM(S29:S31)</f>
        <v>40780</v>
      </c>
      <c r="X32" s="63">
        <f>S18+S31</f>
        <v>0</v>
      </c>
    </row>
    <row r="33" spans="1:23" ht="18.399999999999999" thickBot="1" x14ac:dyDescent="0.5">
      <c r="A33">
        <f>400+400</f>
        <v>800</v>
      </c>
      <c r="C33" s="102">
        <v>26</v>
      </c>
      <c r="D33" s="103" t="s">
        <v>78</v>
      </c>
      <c r="E33" s="104" t="s">
        <v>79</v>
      </c>
      <c r="F33" s="85"/>
      <c r="G33" s="85"/>
      <c r="H33" s="136"/>
      <c r="I33" s="136"/>
      <c r="J33" s="87"/>
      <c r="K33" s="87"/>
      <c r="L33" s="48"/>
      <c r="M33" s="97">
        <f t="shared" si="0"/>
        <v>0</v>
      </c>
      <c r="N33" s="97">
        <f t="shared" si="0"/>
        <v>0</v>
      </c>
    </row>
    <row r="34" spans="1:23" ht="5.0999999999999996" customHeight="1" thickTop="1" thickBot="1" x14ac:dyDescent="0.5">
      <c r="C34" s="107"/>
      <c r="D34" s="65"/>
      <c r="E34" s="108"/>
      <c r="F34" s="109"/>
      <c r="G34" s="109"/>
      <c r="H34" s="110"/>
      <c r="I34" s="110"/>
      <c r="J34" s="110"/>
      <c r="K34" s="110"/>
      <c r="M34" s="111"/>
      <c r="N34" s="111"/>
    </row>
    <row r="35" spans="1:23" ht="23.65" thickBot="1" x14ac:dyDescent="0.5">
      <c r="A35" s="31">
        <f>A40+S43</f>
        <v>85578</v>
      </c>
      <c r="C35" s="157" t="s">
        <v>80</v>
      </c>
      <c r="D35" s="158"/>
      <c r="E35" s="159"/>
      <c r="F35" s="30">
        <f>SUM(F8:F33)</f>
        <v>0</v>
      </c>
      <c r="G35" s="30">
        <f t="shared" ref="G35:K35" si="1">SUM(G8:G33)</f>
        <v>0</v>
      </c>
      <c r="H35" s="30">
        <f>SUM(H8:H33)</f>
        <v>0</v>
      </c>
      <c r="I35" s="30">
        <f t="shared" si="1"/>
        <v>0</v>
      </c>
      <c r="J35" s="30">
        <f t="shared" si="1"/>
        <v>0</v>
      </c>
      <c r="K35" s="30">
        <f t="shared" si="1"/>
        <v>0</v>
      </c>
      <c r="M35" s="30">
        <f>SUM(M8:M33)</f>
        <v>0</v>
      </c>
      <c r="N35" s="30">
        <f>SUM(N8:N33)</f>
        <v>0</v>
      </c>
      <c r="Q35" s="160" t="s">
        <v>183</v>
      </c>
      <c r="R35" s="161"/>
      <c r="S35" s="71">
        <f>S32+S26</f>
        <v>78946</v>
      </c>
    </row>
    <row r="37" spans="1:23" ht="22.5" x14ac:dyDescent="0.45">
      <c r="A37">
        <f>A40-Apr.!A36</f>
        <v>21300</v>
      </c>
      <c r="N37" s="131" t="b">
        <f>N35+M35=K35+J35+I35+H35+G35+F35</f>
        <v>1</v>
      </c>
      <c r="R37">
        <v>24180</v>
      </c>
      <c r="S37" s="36">
        <f>S35+S43+S44</f>
        <v>157892</v>
      </c>
    </row>
    <row r="38" spans="1:23" ht="18" x14ac:dyDescent="0.45">
      <c r="A38">
        <f>-A17+A37</f>
        <v>15500</v>
      </c>
      <c r="S38" s="32">
        <f>S26</f>
        <v>38166</v>
      </c>
    </row>
    <row r="39" spans="1:23" ht="22.5" x14ac:dyDescent="0.45">
      <c r="N39" s="131" t="b">
        <f>N35+M35='Annual Due Amount (combined)'!R33</f>
        <v>0</v>
      </c>
      <c r="S39" s="32">
        <f>S32</f>
        <v>40780</v>
      </c>
    </row>
    <row r="40" spans="1:23" ht="21.95" customHeight="1" x14ac:dyDescent="0.45">
      <c r="A40">
        <f>SUM(A8:A33)</f>
        <v>33100</v>
      </c>
      <c r="F40" s="31">
        <f>F35+H35</f>
        <v>0</v>
      </c>
    </row>
    <row r="41" spans="1:23" ht="14.65" customHeight="1" thickBot="1" x14ac:dyDescent="0.5">
      <c r="I41" s="31">
        <v>50000</v>
      </c>
    </row>
    <row r="42" spans="1:23" ht="22.9" thickBot="1" x14ac:dyDescent="0.5">
      <c r="D42">
        <f>-A40</f>
        <v>-33100</v>
      </c>
      <c r="I42" s="31">
        <f>SUM(A8:A33)</f>
        <v>33100</v>
      </c>
      <c r="R42" s="69" t="s">
        <v>184</v>
      </c>
      <c r="S42" s="69" t="s">
        <v>17</v>
      </c>
    </row>
    <row r="43" spans="1:23" ht="18" x14ac:dyDescent="0.45">
      <c r="G43">
        <v>11800</v>
      </c>
      <c r="I43" s="31">
        <f>SUM(I41:I42)</f>
        <v>83100</v>
      </c>
      <c r="K43">
        <f>-2600-600-600-5800-3000-600-400-800-800-500-1200</f>
        <v>-16900</v>
      </c>
      <c r="R43" s="25" t="s">
        <v>132</v>
      </c>
      <c r="S43" s="126">
        <f>Nov!S43</f>
        <v>52478</v>
      </c>
      <c r="T43" s="32"/>
    </row>
    <row r="44" spans="1:23" ht="18" x14ac:dyDescent="0.45">
      <c r="I44">
        <v>-20000</v>
      </c>
      <c r="R44" s="25" t="s">
        <v>133</v>
      </c>
      <c r="S44" s="126">
        <f>Nov!S44</f>
        <v>26468</v>
      </c>
      <c r="T44" s="32"/>
    </row>
    <row r="45" spans="1:23" ht="14.65" thickBot="1" x14ac:dyDescent="0.5">
      <c r="I45" s="31">
        <f>SUM(I43:I44)+S43</f>
        <v>115578</v>
      </c>
    </row>
    <row r="46" spans="1:23" ht="22.9" thickBot="1" x14ac:dyDescent="0.5">
      <c r="M46">
        <f>119</f>
        <v>119</v>
      </c>
      <c r="R46" s="68" t="str">
        <f>Q32</f>
        <v>الإجمالي</v>
      </c>
      <c r="S46" s="127">
        <f>SUM(S43:S45)</f>
        <v>78946</v>
      </c>
      <c r="T46" s="71"/>
      <c r="W46">
        <v>86673</v>
      </c>
    </row>
    <row r="47" spans="1:23" ht="14.65" thickBot="1" x14ac:dyDescent="0.5">
      <c r="J47" s="129">
        <f>S43-Aug!S43</f>
        <v>0</v>
      </c>
      <c r="N47">
        <f>-56900-1200-1000-500-1000-2600-600-600-5800-3000-400-800-800-500-1200-1400+20000</f>
        <v>-58300</v>
      </c>
      <c r="S47" s="64"/>
    </row>
    <row r="48" spans="1:23" ht="22.9" thickBot="1" x14ac:dyDescent="0.5">
      <c r="H48">
        <v>-43578</v>
      </c>
      <c r="J48" s="129">
        <f>S44-Aug!S44</f>
        <v>0</v>
      </c>
      <c r="R48" s="68" t="s">
        <v>134</v>
      </c>
      <c r="S48" s="119">
        <f>S46+S35</f>
        <v>157892</v>
      </c>
    </row>
    <row r="49" spans="6:10" x14ac:dyDescent="0.45">
      <c r="F49">
        <v>400</v>
      </c>
      <c r="H49">
        <f>-H48</f>
        <v>43578</v>
      </c>
      <c r="J49" s="129">
        <f>SUM(J47:J48)+H35+I35</f>
        <v>0</v>
      </c>
    </row>
    <row r="50" spans="6:10" x14ac:dyDescent="0.45">
      <c r="F50">
        <f>600*6</f>
        <v>3600</v>
      </c>
    </row>
    <row r="51" spans="6:10" x14ac:dyDescent="0.45">
      <c r="F51">
        <v>1000</v>
      </c>
    </row>
  </sheetData>
  <autoFilter ref="Q7:S18" xr:uid="{6355F16A-4814-4E97-8933-299AD5A8013A}"/>
  <mergeCells count="11">
    <mergeCell ref="Q20:S20"/>
    <mergeCell ref="Q26:R26"/>
    <mergeCell ref="Q32:R32"/>
    <mergeCell ref="C35:E35"/>
    <mergeCell ref="Q35:R35"/>
    <mergeCell ref="Q18:R18"/>
    <mergeCell ref="C3:K3"/>
    <mergeCell ref="M3:N3"/>
    <mergeCell ref="Q3:T3"/>
    <mergeCell ref="C4:K4"/>
    <mergeCell ref="Q4:T4"/>
  </mergeCells>
  <pageMargins left="0.7" right="0.7" top="0.75" bottom="0.75" header="0.3" footer="0.3"/>
  <pageSetup scale="4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CF2F-6972-47A8-A1FC-D5642376B10E}">
  <sheetPr>
    <pageSetUpPr fitToPage="1"/>
  </sheetPr>
  <dimension ref="A1:AB42"/>
  <sheetViews>
    <sheetView showGridLines="0" zoomScale="50" zoomScaleNormal="50" workbookViewId="0">
      <selection activeCell="D7" sqref="D7:D3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5" width="15.59765625" style="36" customWidth="1"/>
    <col min="16" max="20" width="15.59765625" customWidth="1"/>
    <col min="21" max="21" width="15.59765625" hidden="1" customWidth="1"/>
    <col min="22" max="22" width="14.86328125" hidden="1" customWidth="1"/>
    <col min="23" max="23" width="15" hidden="1" customWidth="1"/>
    <col min="24" max="24" width="45.265625" hidden="1" customWidth="1"/>
    <col min="25" max="25" width="19" hidden="1" customWidth="1"/>
    <col min="26" max="27" width="9.1328125" hidden="1" customWidth="1"/>
    <col min="28" max="28" width="14.3984375" hidden="1" customWidth="1"/>
    <col min="29" max="16384" width="9.1328125" hidden="1"/>
  </cols>
  <sheetData>
    <row r="1" spans="3:18" x14ac:dyDescent="0.45"/>
    <row r="2" spans="3:18" x14ac:dyDescent="0.45"/>
    <row r="3" spans="3:18" ht="22.5" customHeight="1" x14ac:dyDescent="0.85">
      <c r="C3" s="176" t="s">
        <v>25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3:18" ht="24.6" customHeight="1" x14ac:dyDescent="0.85">
      <c r="C4" s="176" t="s">
        <v>228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</row>
    <row r="5" spans="3:18" ht="4.5" customHeight="1" thickBot="1" x14ac:dyDescent="0.5"/>
    <row r="6" spans="3:18" ht="38.450000000000003" customHeight="1" thickBot="1" x14ac:dyDescent="0.5">
      <c r="C6" s="27" t="s">
        <v>16</v>
      </c>
      <c r="D6" s="28" t="s">
        <v>26</v>
      </c>
      <c r="E6" s="29" t="s">
        <v>27</v>
      </c>
      <c r="F6" s="113" t="s">
        <v>0</v>
      </c>
      <c r="G6" s="113" t="s">
        <v>1</v>
      </c>
      <c r="H6" s="113" t="s">
        <v>2</v>
      </c>
      <c r="I6" s="113" t="s">
        <v>3</v>
      </c>
      <c r="J6" s="113" t="s">
        <v>166</v>
      </c>
      <c r="K6" s="113" t="s">
        <v>167</v>
      </c>
      <c r="L6" s="113" t="s">
        <v>175</v>
      </c>
      <c r="M6" s="113" t="s">
        <v>176</v>
      </c>
      <c r="N6" s="113" t="s">
        <v>177</v>
      </c>
      <c r="O6" s="113" t="s">
        <v>178</v>
      </c>
      <c r="P6" s="113" t="s">
        <v>179</v>
      </c>
      <c r="Q6" s="113" t="s">
        <v>180</v>
      </c>
      <c r="R6" s="43" t="s">
        <v>28</v>
      </c>
    </row>
    <row r="7" spans="3:18" ht="18" x14ac:dyDescent="0.45">
      <c r="C7" s="79">
        <v>1</v>
      </c>
      <c r="D7" s="37" t="s">
        <v>29</v>
      </c>
      <c r="E7" s="40" t="s">
        <v>30</v>
      </c>
      <c r="F7" s="72">
        <f>January!I7</f>
        <v>0</v>
      </c>
      <c r="G7" s="72">
        <f>Feb.!I7</f>
        <v>0</v>
      </c>
      <c r="H7" s="37">
        <f>Mar.!I7</f>
        <v>0</v>
      </c>
      <c r="I7" s="37">
        <f>Apr.!I8</f>
        <v>0</v>
      </c>
      <c r="J7" s="37">
        <f>May!I8</f>
        <v>0</v>
      </c>
      <c r="K7" s="37">
        <f>Jun!I8</f>
        <v>0</v>
      </c>
      <c r="L7" s="37">
        <f>Jul!I8</f>
        <v>0</v>
      </c>
      <c r="M7" s="37">
        <f>Aug!I8</f>
        <v>0</v>
      </c>
      <c r="N7" s="37">
        <f>Sep!I8</f>
        <v>0</v>
      </c>
      <c r="O7" s="37">
        <f>Oct!I8</f>
        <v>0</v>
      </c>
      <c r="P7" s="37">
        <f>Nov!I8</f>
        <v>0</v>
      </c>
      <c r="Q7" s="37">
        <f>Dec!I8</f>
        <v>0</v>
      </c>
      <c r="R7" s="37">
        <f>SUM(F7:Q7)</f>
        <v>0</v>
      </c>
    </row>
    <row r="8" spans="3:18" ht="18" x14ac:dyDescent="0.45">
      <c r="C8" s="79">
        <v>2</v>
      </c>
      <c r="D8" s="37" t="s">
        <v>194</v>
      </c>
      <c r="E8" s="40" t="s">
        <v>31</v>
      </c>
      <c r="F8" s="72">
        <f>January!I8</f>
        <v>0</v>
      </c>
      <c r="G8" s="72">
        <f>Feb.!I8</f>
        <v>0</v>
      </c>
      <c r="H8" s="37">
        <f>Mar.!I8</f>
        <v>0</v>
      </c>
      <c r="I8" s="37">
        <f>Apr.!I9</f>
        <v>0</v>
      </c>
      <c r="J8" s="37">
        <f>May!I9</f>
        <v>0</v>
      </c>
      <c r="K8" s="37">
        <f>Jun!I9</f>
        <v>0</v>
      </c>
      <c r="L8" s="37">
        <f>Jul!I9</f>
        <v>0</v>
      </c>
      <c r="M8" s="37">
        <f>Aug!I9</f>
        <v>0</v>
      </c>
      <c r="N8" s="37">
        <f>Sep!I9</f>
        <v>0</v>
      </c>
      <c r="O8" s="37">
        <f>Oct!I9</f>
        <v>0</v>
      </c>
      <c r="P8" s="37">
        <f>Nov!I9</f>
        <v>0</v>
      </c>
      <c r="Q8" s="37">
        <f>Dec!I9</f>
        <v>0</v>
      </c>
      <c r="R8" s="37">
        <f t="shared" ref="R8:R32" si="0">SUM(F8:Q8)</f>
        <v>0</v>
      </c>
    </row>
    <row r="9" spans="3:18" ht="18" x14ac:dyDescent="0.45">
      <c r="C9" s="79">
        <v>3</v>
      </c>
      <c r="D9" s="37" t="s">
        <v>32</v>
      </c>
      <c r="E9" s="40" t="s">
        <v>33</v>
      </c>
      <c r="F9" s="72">
        <f>January!I9</f>
        <v>0</v>
      </c>
      <c r="G9" s="72">
        <f>Feb.!I9</f>
        <v>0</v>
      </c>
      <c r="H9" s="37">
        <f>Mar.!I9</f>
        <v>0</v>
      </c>
      <c r="I9" s="37">
        <f>Apr.!I10</f>
        <v>0</v>
      </c>
      <c r="J9" s="37">
        <f>May!I10</f>
        <v>0</v>
      </c>
      <c r="K9" s="37">
        <f>Jun!I10</f>
        <v>0</v>
      </c>
      <c r="L9" s="37">
        <f>Jul!I10</f>
        <v>0</v>
      </c>
      <c r="M9" s="37">
        <f>Aug!I10</f>
        <v>0</v>
      </c>
      <c r="N9" s="37">
        <f>Sep!I10</f>
        <v>0</v>
      </c>
      <c r="O9" s="37">
        <f>Oct!I10</f>
        <v>0</v>
      </c>
      <c r="P9" s="37">
        <f>Nov!I10</f>
        <v>0</v>
      </c>
      <c r="Q9" s="37">
        <f>Dec!I10</f>
        <v>0</v>
      </c>
      <c r="R9" s="37">
        <f t="shared" si="0"/>
        <v>0</v>
      </c>
    </row>
    <row r="10" spans="3:18" ht="18" x14ac:dyDescent="0.45">
      <c r="C10" s="79">
        <v>4</v>
      </c>
      <c r="D10" s="37" t="s">
        <v>34</v>
      </c>
      <c r="E10" s="40" t="s">
        <v>35</v>
      </c>
      <c r="F10" s="72">
        <f>January!I10</f>
        <v>0</v>
      </c>
      <c r="G10" s="72">
        <f>Feb.!I10</f>
        <v>0</v>
      </c>
      <c r="H10" s="37">
        <f>Mar.!I10</f>
        <v>0</v>
      </c>
      <c r="I10" s="37">
        <f>Apr.!I11</f>
        <v>0</v>
      </c>
      <c r="J10" s="37">
        <f>May!I11</f>
        <v>0</v>
      </c>
      <c r="K10" s="37">
        <f>Jun!I11</f>
        <v>0</v>
      </c>
      <c r="L10" s="37">
        <f>Jul!I11</f>
        <v>0</v>
      </c>
      <c r="M10" s="37">
        <f>Aug!I11</f>
        <v>0</v>
      </c>
      <c r="N10" s="37">
        <f>Sep!I11</f>
        <v>0</v>
      </c>
      <c r="O10" s="37">
        <f>Oct!I11</f>
        <v>0</v>
      </c>
      <c r="P10" s="37">
        <f>Nov!I11</f>
        <v>0</v>
      </c>
      <c r="Q10" s="37">
        <f>Dec!I11</f>
        <v>0</v>
      </c>
      <c r="R10" s="37">
        <f t="shared" si="0"/>
        <v>0</v>
      </c>
    </row>
    <row r="11" spans="3:18" ht="18" x14ac:dyDescent="0.45">
      <c r="C11" s="79">
        <v>5</v>
      </c>
      <c r="D11" s="37" t="s">
        <v>36</v>
      </c>
      <c r="E11" s="40" t="s">
        <v>37</v>
      </c>
      <c r="F11" s="72">
        <f>January!I11</f>
        <v>100</v>
      </c>
      <c r="G11" s="72">
        <f>Feb.!I11</f>
        <v>100</v>
      </c>
      <c r="H11" s="37">
        <f>Mar.!I11</f>
        <v>200</v>
      </c>
      <c r="I11" s="37">
        <f>Apr.!I12</f>
        <v>100</v>
      </c>
      <c r="J11" s="37">
        <f>May!I12</f>
        <v>100</v>
      </c>
      <c r="K11" s="37">
        <f>Jun!I12</f>
        <v>100</v>
      </c>
      <c r="L11" s="37">
        <f>Jul!I12</f>
        <v>0</v>
      </c>
      <c r="M11" s="37">
        <f>Aug!I12</f>
        <v>0</v>
      </c>
      <c r="N11" s="37">
        <f>Sep!I12</f>
        <v>0</v>
      </c>
      <c r="O11" s="37">
        <f>Oct!I12</f>
        <v>0</v>
      </c>
      <c r="P11" s="37">
        <f>Nov!I12</f>
        <v>0</v>
      </c>
      <c r="Q11" s="37">
        <f>Dec!I12</f>
        <v>0</v>
      </c>
      <c r="R11" s="37">
        <f t="shared" si="0"/>
        <v>700</v>
      </c>
    </row>
    <row r="12" spans="3:18" ht="18" x14ac:dyDescent="0.45">
      <c r="C12" s="79">
        <v>6</v>
      </c>
      <c r="D12" s="37" t="s">
        <v>38</v>
      </c>
      <c r="E12" s="40" t="s">
        <v>39</v>
      </c>
      <c r="F12" s="72">
        <f>January!I12</f>
        <v>100</v>
      </c>
      <c r="G12" s="72">
        <f>Feb.!I12</f>
        <v>100</v>
      </c>
      <c r="H12" s="37">
        <f>Mar.!I12</f>
        <v>100</v>
      </c>
      <c r="I12" s="37">
        <f>Apr.!I13</f>
        <v>100</v>
      </c>
      <c r="J12" s="37">
        <f>May!I13</f>
        <v>100</v>
      </c>
      <c r="K12" s="37">
        <f>Jun!I13</f>
        <v>100</v>
      </c>
      <c r="L12" s="37">
        <f>Jul!I13</f>
        <v>0</v>
      </c>
      <c r="M12" s="37">
        <f>Aug!I13</f>
        <v>0</v>
      </c>
      <c r="N12" s="37">
        <f>Sep!I13</f>
        <v>0</v>
      </c>
      <c r="O12" s="37">
        <f>Oct!I13</f>
        <v>0</v>
      </c>
      <c r="P12" s="37">
        <f>Nov!I13</f>
        <v>0</v>
      </c>
      <c r="Q12" s="37">
        <f>Dec!I13</f>
        <v>0</v>
      </c>
      <c r="R12" s="37">
        <f t="shared" si="0"/>
        <v>600</v>
      </c>
    </row>
    <row r="13" spans="3:18" ht="18" x14ac:dyDescent="0.45">
      <c r="C13" s="79">
        <v>7</v>
      </c>
      <c r="D13" s="37" t="s">
        <v>40</v>
      </c>
      <c r="E13" s="40" t="s">
        <v>41</v>
      </c>
      <c r="F13" s="72">
        <f>January!I13</f>
        <v>0</v>
      </c>
      <c r="G13" s="72">
        <f>Feb.!I13</f>
        <v>0</v>
      </c>
      <c r="H13" s="37">
        <f>Mar.!I13</f>
        <v>0</v>
      </c>
      <c r="I13" s="37">
        <f>Apr.!I14</f>
        <v>0</v>
      </c>
      <c r="J13" s="37">
        <f>May!I14</f>
        <v>0</v>
      </c>
      <c r="K13" s="37">
        <f>Jun!I14</f>
        <v>0</v>
      </c>
      <c r="L13" s="37">
        <f>Jul!I14</f>
        <v>0</v>
      </c>
      <c r="M13" s="37">
        <f>Aug!I14</f>
        <v>0</v>
      </c>
      <c r="N13" s="37">
        <f>Sep!I14</f>
        <v>0</v>
      </c>
      <c r="O13" s="37">
        <f>Oct!I14</f>
        <v>0</v>
      </c>
      <c r="P13" s="37">
        <f>Nov!I14</f>
        <v>0</v>
      </c>
      <c r="Q13" s="37">
        <f>Dec!I14</f>
        <v>0</v>
      </c>
      <c r="R13" s="37">
        <f t="shared" si="0"/>
        <v>0</v>
      </c>
    </row>
    <row r="14" spans="3:18" ht="18" x14ac:dyDescent="0.45">
      <c r="C14" s="79">
        <v>8</v>
      </c>
      <c r="D14" s="37" t="s">
        <v>42</v>
      </c>
      <c r="E14" s="41" t="s">
        <v>43</v>
      </c>
      <c r="F14" s="72">
        <f>January!I14</f>
        <v>0</v>
      </c>
      <c r="G14" s="72">
        <f>Feb.!I14</f>
        <v>0</v>
      </c>
      <c r="H14" s="37">
        <f>Mar.!I14</f>
        <v>0</v>
      </c>
      <c r="I14" s="37">
        <f>Apr.!I15</f>
        <v>0</v>
      </c>
      <c r="J14" s="37">
        <f>May!I15</f>
        <v>0</v>
      </c>
      <c r="K14" s="37">
        <f>Jun!I15</f>
        <v>0</v>
      </c>
      <c r="L14" s="37">
        <f>Jul!I15</f>
        <v>0</v>
      </c>
      <c r="M14" s="37">
        <f>Aug!I15</f>
        <v>0</v>
      </c>
      <c r="N14" s="37">
        <f>Sep!I15</f>
        <v>0</v>
      </c>
      <c r="O14" s="37">
        <f>Oct!I15</f>
        <v>0</v>
      </c>
      <c r="P14" s="37">
        <f>Nov!I15</f>
        <v>0</v>
      </c>
      <c r="Q14" s="37">
        <f>Dec!I15</f>
        <v>0</v>
      </c>
      <c r="R14" s="37">
        <f t="shared" si="0"/>
        <v>0</v>
      </c>
    </row>
    <row r="15" spans="3:18" ht="18" x14ac:dyDescent="0.45">
      <c r="C15" s="79">
        <v>9</v>
      </c>
      <c r="D15" s="37" t="s">
        <v>44</v>
      </c>
      <c r="E15" s="41" t="s">
        <v>45</v>
      </c>
      <c r="F15" s="72">
        <f>January!I15</f>
        <v>0</v>
      </c>
      <c r="G15" s="72">
        <f>Feb.!I15</f>
        <v>0</v>
      </c>
      <c r="H15" s="37">
        <f>Mar.!I15</f>
        <v>0</v>
      </c>
      <c r="I15" s="37">
        <f>Apr.!I16</f>
        <v>0</v>
      </c>
      <c r="J15" s="37">
        <f>May!I16</f>
        <v>0</v>
      </c>
      <c r="K15" s="37">
        <f>Jun!I16</f>
        <v>0</v>
      </c>
      <c r="L15" s="37">
        <f>Jul!I16</f>
        <v>0</v>
      </c>
      <c r="M15" s="37">
        <f>Aug!I16</f>
        <v>0</v>
      </c>
      <c r="N15" s="37">
        <f>Sep!I16</f>
        <v>0</v>
      </c>
      <c r="O15" s="37">
        <f>Oct!I16</f>
        <v>0</v>
      </c>
      <c r="P15" s="37">
        <f>Nov!I16</f>
        <v>0</v>
      </c>
      <c r="Q15" s="37">
        <f>Dec!I16</f>
        <v>0</v>
      </c>
      <c r="R15" s="37">
        <f t="shared" si="0"/>
        <v>0</v>
      </c>
    </row>
    <row r="16" spans="3:18" ht="18" x14ac:dyDescent="0.45">
      <c r="C16" s="79">
        <v>10</v>
      </c>
      <c r="D16" s="37" t="s">
        <v>46</v>
      </c>
      <c r="E16" s="41" t="s">
        <v>47</v>
      </c>
      <c r="F16" s="72">
        <f>January!I16</f>
        <v>0</v>
      </c>
      <c r="G16" s="72">
        <f>Feb.!I16</f>
        <v>0</v>
      </c>
      <c r="H16" s="37">
        <f>Mar.!I16</f>
        <v>200</v>
      </c>
      <c r="I16" s="37">
        <f>Apr.!I17</f>
        <v>200</v>
      </c>
      <c r="J16" s="37">
        <f>May!I17</f>
        <v>0</v>
      </c>
      <c r="K16" s="37">
        <f>Jun!I17</f>
        <v>0</v>
      </c>
      <c r="L16" s="37">
        <f>Jul!I17</f>
        <v>0</v>
      </c>
      <c r="M16" s="37">
        <f>Aug!I17</f>
        <v>0</v>
      </c>
      <c r="N16" s="37">
        <f>Sep!I17</f>
        <v>0</v>
      </c>
      <c r="O16" s="37">
        <f>Oct!I17</f>
        <v>0</v>
      </c>
      <c r="P16" s="37">
        <f>Nov!I17</f>
        <v>0</v>
      </c>
      <c r="Q16" s="37">
        <f>Dec!I17</f>
        <v>0</v>
      </c>
      <c r="R16" s="37">
        <f t="shared" si="0"/>
        <v>400</v>
      </c>
    </row>
    <row r="17" spans="3:18" ht="18" x14ac:dyDescent="0.45">
      <c r="C17" s="79">
        <v>11</v>
      </c>
      <c r="D17" s="37" t="s">
        <v>48</v>
      </c>
      <c r="E17" s="41" t="s">
        <v>49</v>
      </c>
      <c r="F17" s="72">
        <f>January!I17</f>
        <v>0</v>
      </c>
      <c r="G17" s="72">
        <f>Feb.!I17</f>
        <v>0</v>
      </c>
      <c r="H17" s="37">
        <f>Mar.!I17</f>
        <v>400</v>
      </c>
      <c r="I17" s="37">
        <f>Apr.!I18</f>
        <v>0</v>
      </c>
      <c r="J17" s="37">
        <f>May!I18</f>
        <v>0</v>
      </c>
      <c r="K17" s="37">
        <f>Jun!I18</f>
        <v>200</v>
      </c>
      <c r="L17" s="37">
        <f>Jul!I18</f>
        <v>0</v>
      </c>
      <c r="M17" s="37">
        <f>Aug!I18</f>
        <v>0</v>
      </c>
      <c r="N17" s="37">
        <f>Sep!I18</f>
        <v>0</v>
      </c>
      <c r="O17" s="37">
        <f>Oct!I18</f>
        <v>0</v>
      </c>
      <c r="P17" s="37">
        <f>Nov!I18</f>
        <v>0</v>
      </c>
      <c r="Q17" s="37">
        <f>Dec!I18</f>
        <v>0</v>
      </c>
      <c r="R17" s="37">
        <f t="shared" si="0"/>
        <v>600</v>
      </c>
    </row>
    <row r="18" spans="3:18" ht="18" x14ac:dyDescent="0.45">
      <c r="C18" s="79">
        <v>12</v>
      </c>
      <c r="D18" s="37" t="s">
        <v>50</v>
      </c>
      <c r="E18" s="41" t="s">
        <v>51</v>
      </c>
      <c r="F18" s="72">
        <f>January!I18</f>
        <v>100</v>
      </c>
      <c r="G18" s="72">
        <f>Feb.!I18</f>
        <v>100</v>
      </c>
      <c r="H18" s="37">
        <f>Mar.!I18</f>
        <v>100</v>
      </c>
      <c r="I18" s="37">
        <f>Apr.!I19</f>
        <v>100</v>
      </c>
      <c r="J18" s="37">
        <f>May!I19</f>
        <v>100</v>
      </c>
      <c r="K18" s="37">
        <f>Jun!I19</f>
        <v>100</v>
      </c>
      <c r="L18" s="37">
        <f>Jul!I19</f>
        <v>0</v>
      </c>
      <c r="M18" s="37">
        <f>Aug!I19</f>
        <v>0</v>
      </c>
      <c r="N18" s="37">
        <f>Sep!I19</f>
        <v>0</v>
      </c>
      <c r="O18" s="37">
        <f>Oct!I19</f>
        <v>0</v>
      </c>
      <c r="P18" s="37">
        <f>Nov!I19</f>
        <v>0</v>
      </c>
      <c r="Q18" s="37">
        <f>Dec!I19</f>
        <v>0</v>
      </c>
      <c r="R18" s="37">
        <f t="shared" si="0"/>
        <v>600</v>
      </c>
    </row>
    <row r="19" spans="3:18" ht="18" x14ac:dyDescent="0.45">
      <c r="C19" s="79">
        <v>13</v>
      </c>
      <c r="D19" s="37" t="s">
        <v>52</v>
      </c>
      <c r="E19" s="41" t="s">
        <v>53</v>
      </c>
      <c r="F19" s="72">
        <f>January!I19</f>
        <v>1000</v>
      </c>
      <c r="G19" s="72">
        <f>Feb.!I19</f>
        <v>0</v>
      </c>
      <c r="H19" s="37">
        <f>Mar.!I19</f>
        <v>0</v>
      </c>
      <c r="I19" s="37">
        <f>Apr.!I20</f>
        <v>0</v>
      </c>
      <c r="J19" s="37">
        <f>May!I20</f>
        <v>0</v>
      </c>
      <c r="K19" s="37">
        <f>Jun!I20</f>
        <v>0</v>
      </c>
      <c r="L19" s="37">
        <f>Jul!I20</f>
        <v>0</v>
      </c>
      <c r="M19" s="37">
        <f>Aug!I20</f>
        <v>0</v>
      </c>
      <c r="N19" s="37">
        <f>Sep!I20</f>
        <v>0</v>
      </c>
      <c r="O19" s="37">
        <f>Oct!I20</f>
        <v>0</v>
      </c>
      <c r="P19" s="37">
        <f>Nov!I20</f>
        <v>0</v>
      </c>
      <c r="Q19" s="37">
        <f>Dec!I20</f>
        <v>0</v>
      </c>
      <c r="R19" s="37">
        <f t="shared" si="0"/>
        <v>1000</v>
      </c>
    </row>
    <row r="20" spans="3:18" ht="18" x14ac:dyDescent="0.45">
      <c r="C20" s="79">
        <v>14</v>
      </c>
      <c r="D20" s="37" t="s">
        <v>169</v>
      </c>
      <c r="E20" s="41" t="s">
        <v>55</v>
      </c>
      <c r="F20" s="72">
        <f>January!I20</f>
        <v>100</v>
      </c>
      <c r="G20" s="72">
        <f>Feb.!I20</f>
        <v>0</v>
      </c>
      <c r="H20" s="37">
        <f>Mar.!I20</f>
        <v>200</v>
      </c>
      <c r="I20" s="37">
        <f>Apr.!I21</f>
        <v>100</v>
      </c>
      <c r="J20" s="37">
        <f>May!I21</f>
        <v>100</v>
      </c>
      <c r="K20" s="37">
        <f>Jun!I21</f>
        <v>0</v>
      </c>
      <c r="L20" s="37">
        <f>Jul!I21</f>
        <v>0</v>
      </c>
      <c r="M20" s="37">
        <f>Aug!I21</f>
        <v>0</v>
      </c>
      <c r="N20" s="37">
        <f>Sep!I21</f>
        <v>0</v>
      </c>
      <c r="O20" s="37">
        <f>Oct!I21</f>
        <v>0</v>
      </c>
      <c r="P20" s="37">
        <f>Nov!I21</f>
        <v>0</v>
      </c>
      <c r="Q20" s="37">
        <f>Dec!I21</f>
        <v>0</v>
      </c>
      <c r="R20" s="37">
        <f t="shared" si="0"/>
        <v>500</v>
      </c>
    </row>
    <row r="21" spans="3:18" ht="18" x14ac:dyDescent="0.45">
      <c r="C21" s="79">
        <v>15</v>
      </c>
      <c r="D21" s="37" t="s">
        <v>56</v>
      </c>
      <c r="E21" s="41" t="s">
        <v>57</v>
      </c>
      <c r="F21" s="72">
        <f>January!I21</f>
        <v>0</v>
      </c>
      <c r="G21" s="72">
        <f>Feb.!I21</f>
        <v>0</v>
      </c>
      <c r="H21" s="37">
        <f>Mar.!I21</f>
        <v>0</v>
      </c>
      <c r="I21" s="37">
        <f>Apr.!I22</f>
        <v>100</v>
      </c>
      <c r="J21" s="37">
        <f>May!I22</f>
        <v>100</v>
      </c>
      <c r="K21" s="37">
        <f>Jun!I22</f>
        <v>0</v>
      </c>
      <c r="L21" s="37">
        <f>Jul!I22</f>
        <v>0</v>
      </c>
      <c r="M21" s="37">
        <f>Aug!I22</f>
        <v>0</v>
      </c>
      <c r="N21" s="37">
        <f>Sep!I22</f>
        <v>0</v>
      </c>
      <c r="O21" s="37">
        <f>Oct!I22</f>
        <v>0</v>
      </c>
      <c r="P21" s="37">
        <f>Nov!I22</f>
        <v>0</v>
      </c>
      <c r="Q21" s="37">
        <f>Dec!I22</f>
        <v>0</v>
      </c>
      <c r="R21" s="37">
        <f t="shared" si="0"/>
        <v>200</v>
      </c>
    </row>
    <row r="22" spans="3:18" ht="25.5" customHeight="1" x14ac:dyDescent="0.45">
      <c r="C22" s="79">
        <v>16</v>
      </c>
      <c r="D22" s="37" t="s">
        <v>58</v>
      </c>
      <c r="E22" s="41" t="s">
        <v>59</v>
      </c>
      <c r="F22" s="72">
        <f>January!I22</f>
        <v>0</v>
      </c>
      <c r="G22" s="72">
        <f>Feb.!I22</f>
        <v>0</v>
      </c>
      <c r="H22" s="37">
        <f>Mar.!I22</f>
        <v>0</v>
      </c>
      <c r="I22" s="37">
        <f>Apr.!I23</f>
        <v>0</v>
      </c>
      <c r="J22" s="37">
        <f>May!I23</f>
        <v>0</v>
      </c>
      <c r="K22" s="37">
        <f>Jun!I23</f>
        <v>0</v>
      </c>
      <c r="L22" s="37">
        <f>Jul!I23</f>
        <v>0</v>
      </c>
      <c r="M22" s="37">
        <f>Aug!I23</f>
        <v>0</v>
      </c>
      <c r="N22" s="37">
        <f>Sep!I23</f>
        <v>0</v>
      </c>
      <c r="O22" s="37">
        <f>Oct!I23</f>
        <v>0</v>
      </c>
      <c r="P22" s="37">
        <f>Nov!I23</f>
        <v>0</v>
      </c>
      <c r="Q22" s="37">
        <f>Dec!I23</f>
        <v>0</v>
      </c>
      <c r="R22" s="37">
        <f t="shared" si="0"/>
        <v>0</v>
      </c>
    </row>
    <row r="23" spans="3:18" ht="18" x14ac:dyDescent="0.45">
      <c r="C23" s="79">
        <v>17</v>
      </c>
      <c r="D23" s="37" t="s">
        <v>60</v>
      </c>
      <c r="E23" s="41" t="s">
        <v>61</v>
      </c>
      <c r="F23" s="72">
        <f>January!I23</f>
        <v>100</v>
      </c>
      <c r="G23" s="72">
        <f>Feb.!I23</f>
        <v>0</v>
      </c>
      <c r="H23" s="37">
        <f>Mar.!I23</f>
        <v>0</v>
      </c>
      <c r="I23" s="37">
        <f>Apr.!I24</f>
        <v>0</v>
      </c>
      <c r="J23" s="37">
        <f>May!I24</f>
        <v>0</v>
      </c>
      <c r="K23" s="37">
        <f>Jun!I24</f>
        <v>0</v>
      </c>
      <c r="L23" s="37">
        <f>Jul!I24</f>
        <v>0</v>
      </c>
      <c r="M23" s="37">
        <f>Aug!I24</f>
        <v>0</v>
      </c>
      <c r="N23" s="37">
        <f>Sep!I24</f>
        <v>0</v>
      </c>
      <c r="O23" s="37">
        <f>Oct!I24</f>
        <v>0</v>
      </c>
      <c r="P23" s="37">
        <f>Nov!I24</f>
        <v>0</v>
      </c>
      <c r="Q23" s="37">
        <f>Dec!I24</f>
        <v>0</v>
      </c>
      <c r="R23" s="37">
        <f t="shared" si="0"/>
        <v>100</v>
      </c>
    </row>
    <row r="24" spans="3:18" ht="18" x14ac:dyDescent="0.45">
      <c r="C24" s="79">
        <v>18</v>
      </c>
      <c r="D24" s="37" t="s">
        <v>181</v>
      </c>
      <c r="E24" s="41" t="s">
        <v>63</v>
      </c>
      <c r="F24" s="72">
        <f>January!I24</f>
        <v>0</v>
      </c>
      <c r="G24" s="72">
        <f>Feb.!I24</f>
        <v>0</v>
      </c>
      <c r="H24" s="37">
        <f>Mar.!I24</f>
        <v>0</v>
      </c>
      <c r="I24" s="37">
        <f>Apr.!I25</f>
        <v>0</v>
      </c>
      <c r="J24" s="37">
        <f>May!I25</f>
        <v>0</v>
      </c>
      <c r="K24" s="37">
        <f>Jun!I25</f>
        <v>0</v>
      </c>
      <c r="L24" s="37">
        <f>Jul!I25</f>
        <v>0</v>
      </c>
      <c r="M24" s="37">
        <f>Aug!I25</f>
        <v>0</v>
      </c>
      <c r="N24" s="37">
        <f>Sep!I25</f>
        <v>0</v>
      </c>
      <c r="O24" s="37">
        <f>Oct!I25</f>
        <v>0</v>
      </c>
      <c r="P24" s="37">
        <f>Nov!I25</f>
        <v>0</v>
      </c>
      <c r="Q24" s="37">
        <f>Dec!I25</f>
        <v>0</v>
      </c>
      <c r="R24" s="37">
        <f t="shared" si="0"/>
        <v>0</v>
      </c>
    </row>
    <row r="25" spans="3:18" ht="18" x14ac:dyDescent="0.45">
      <c r="C25" s="79">
        <v>19</v>
      </c>
      <c r="D25" s="37" t="s">
        <v>64</v>
      </c>
      <c r="E25" s="41" t="s">
        <v>65</v>
      </c>
      <c r="F25" s="72">
        <f>January!I25</f>
        <v>100</v>
      </c>
      <c r="G25" s="72">
        <f>Feb.!I25</f>
        <v>100</v>
      </c>
      <c r="H25" s="37">
        <f>Mar.!I25</f>
        <v>100</v>
      </c>
      <c r="I25" s="37">
        <f>Apr.!I26</f>
        <v>100</v>
      </c>
      <c r="J25" s="37">
        <f>May!I26</f>
        <v>100</v>
      </c>
      <c r="K25" s="37">
        <f>Jun!I26</f>
        <v>100</v>
      </c>
      <c r="L25" s="37">
        <f>Jul!I26</f>
        <v>0</v>
      </c>
      <c r="M25" s="37">
        <f>Aug!I26</f>
        <v>0</v>
      </c>
      <c r="N25" s="37">
        <f>Sep!I26</f>
        <v>0</v>
      </c>
      <c r="O25" s="37">
        <f>Oct!I26</f>
        <v>0</v>
      </c>
      <c r="P25" s="37">
        <f>Nov!I26</f>
        <v>0</v>
      </c>
      <c r="Q25" s="37">
        <f>Dec!I26</f>
        <v>0</v>
      </c>
      <c r="R25" s="37">
        <f t="shared" si="0"/>
        <v>600</v>
      </c>
    </row>
    <row r="26" spans="3:18" ht="18" x14ac:dyDescent="0.45">
      <c r="C26" s="79">
        <v>20</v>
      </c>
      <c r="D26" s="37" t="s">
        <v>130</v>
      </c>
      <c r="E26" s="41" t="s">
        <v>67</v>
      </c>
      <c r="F26" s="72">
        <f>January!I26</f>
        <v>100</v>
      </c>
      <c r="G26" s="72">
        <f>Feb.!I26</f>
        <v>100</v>
      </c>
      <c r="H26" s="37">
        <f>Mar.!I26</f>
        <v>600</v>
      </c>
      <c r="I26" s="37">
        <f>Apr.!I27</f>
        <v>0</v>
      </c>
      <c r="J26" s="37">
        <f>May!I27</f>
        <v>100</v>
      </c>
      <c r="K26" s="37">
        <f>Jun!I27</f>
        <v>0</v>
      </c>
      <c r="L26" s="37">
        <f>Jul!I27</f>
        <v>0</v>
      </c>
      <c r="M26" s="37">
        <f>Aug!I27</f>
        <v>0</v>
      </c>
      <c r="N26" s="37">
        <f>Sep!I27</f>
        <v>0</v>
      </c>
      <c r="O26" s="37">
        <f>Oct!I27</f>
        <v>0</v>
      </c>
      <c r="P26" s="37">
        <f>Nov!I27</f>
        <v>0</v>
      </c>
      <c r="Q26" s="37">
        <f>Dec!I27</f>
        <v>0</v>
      </c>
      <c r="R26" s="37">
        <f t="shared" si="0"/>
        <v>900</v>
      </c>
    </row>
    <row r="27" spans="3:18" ht="18" x14ac:dyDescent="0.45">
      <c r="C27" s="79">
        <v>21</v>
      </c>
      <c r="D27" s="37" t="s">
        <v>68</v>
      </c>
      <c r="E27" s="41" t="s">
        <v>69</v>
      </c>
      <c r="F27" s="72">
        <f>January!I27</f>
        <v>100</v>
      </c>
      <c r="G27" s="72">
        <f>Feb.!I27</f>
        <v>200</v>
      </c>
      <c r="H27" s="37">
        <f>Mar.!I27</f>
        <v>0</v>
      </c>
      <c r="I27" s="37">
        <f>Apr.!I28</f>
        <v>0</v>
      </c>
      <c r="J27" s="37">
        <f>May!I28</f>
        <v>200</v>
      </c>
      <c r="K27" s="37">
        <f>Jun!I28</f>
        <v>0</v>
      </c>
      <c r="L27" s="37">
        <f>Jul!I28</f>
        <v>0</v>
      </c>
      <c r="M27" s="37">
        <f>Aug!I28</f>
        <v>0</v>
      </c>
      <c r="N27" s="37">
        <f>Sep!I28</f>
        <v>0</v>
      </c>
      <c r="O27" s="37">
        <f>Oct!I28</f>
        <v>0</v>
      </c>
      <c r="P27" s="37">
        <f>Nov!I28</f>
        <v>0</v>
      </c>
      <c r="Q27" s="37">
        <f>Dec!I28</f>
        <v>0</v>
      </c>
      <c r="R27" s="37">
        <f t="shared" si="0"/>
        <v>500</v>
      </c>
    </row>
    <row r="28" spans="3:18" ht="18" x14ac:dyDescent="0.45">
      <c r="C28" s="79">
        <v>22</v>
      </c>
      <c r="D28" s="37" t="s">
        <v>70</v>
      </c>
      <c r="E28" s="41" t="s">
        <v>71</v>
      </c>
      <c r="F28" s="72">
        <f>January!I28</f>
        <v>100</v>
      </c>
      <c r="G28" s="72">
        <f>Feb.!I28</f>
        <v>100</v>
      </c>
      <c r="H28" s="37">
        <f>Mar.!I28</f>
        <v>100</v>
      </c>
      <c r="I28" s="37">
        <f>Apr.!I29</f>
        <v>100</v>
      </c>
      <c r="J28" s="37">
        <f>May!I29</f>
        <v>100</v>
      </c>
      <c r="K28" s="37">
        <f>Jun!I29</f>
        <v>100</v>
      </c>
      <c r="L28" s="37">
        <f>Jul!I29</f>
        <v>0</v>
      </c>
      <c r="M28" s="37">
        <f>Aug!I29</f>
        <v>0</v>
      </c>
      <c r="N28" s="37">
        <f>Sep!I29</f>
        <v>0</v>
      </c>
      <c r="O28" s="37">
        <f>Oct!I29</f>
        <v>0</v>
      </c>
      <c r="P28" s="37">
        <f>Nov!I29</f>
        <v>0</v>
      </c>
      <c r="Q28" s="37">
        <f>Dec!I29</f>
        <v>0</v>
      </c>
      <c r="R28" s="37">
        <f t="shared" si="0"/>
        <v>600</v>
      </c>
    </row>
    <row r="29" spans="3:18" ht="18" x14ac:dyDescent="0.45">
      <c r="C29" s="79">
        <v>23</v>
      </c>
      <c r="D29" s="37" t="s">
        <v>72</v>
      </c>
      <c r="E29" s="41" t="s">
        <v>73</v>
      </c>
      <c r="F29" s="72">
        <f>January!I29</f>
        <v>700</v>
      </c>
      <c r="G29" s="72">
        <f>Feb.!I29</f>
        <v>100</v>
      </c>
      <c r="H29" s="37">
        <f>Mar.!I29</f>
        <v>100</v>
      </c>
      <c r="I29" s="37">
        <f>Apr.!I30</f>
        <v>100</v>
      </c>
      <c r="J29" s="37">
        <f>May!I30</f>
        <v>100</v>
      </c>
      <c r="K29" s="37">
        <f>Jun!I30</f>
        <v>100</v>
      </c>
      <c r="L29" s="37">
        <f>Jul!I30</f>
        <v>0</v>
      </c>
      <c r="M29" s="37">
        <f>Aug!I30</f>
        <v>0</v>
      </c>
      <c r="N29" s="37">
        <f>Sep!I30</f>
        <v>0</v>
      </c>
      <c r="O29" s="37">
        <f>Oct!I30</f>
        <v>0</v>
      </c>
      <c r="P29" s="37">
        <f>Nov!I30</f>
        <v>0</v>
      </c>
      <c r="Q29" s="37">
        <f>Dec!I30</f>
        <v>0</v>
      </c>
      <c r="R29" s="37">
        <f t="shared" si="0"/>
        <v>1200</v>
      </c>
    </row>
    <row r="30" spans="3:18" ht="18" x14ac:dyDescent="0.45">
      <c r="C30" s="79">
        <v>24</v>
      </c>
      <c r="D30" s="37" t="s">
        <v>74</v>
      </c>
      <c r="E30" s="41" t="s">
        <v>75</v>
      </c>
      <c r="F30" s="72">
        <f>January!I30</f>
        <v>100</v>
      </c>
      <c r="G30" s="72">
        <f>Feb.!I30</f>
        <v>0</v>
      </c>
      <c r="H30" s="37">
        <f>Mar.!I30</f>
        <v>100</v>
      </c>
      <c r="I30" s="37">
        <f>Apr.!I31</f>
        <v>100</v>
      </c>
      <c r="J30" s="37">
        <f>May!I31</f>
        <v>200</v>
      </c>
      <c r="K30" s="37">
        <f>Jun!I31</f>
        <v>0</v>
      </c>
      <c r="L30" s="37">
        <f>Jul!I31</f>
        <v>0</v>
      </c>
      <c r="M30" s="37">
        <f>Aug!I31</f>
        <v>0</v>
      </c>
      <c r="N30" s="37">
        <f>Sep!I31</f>
        <v>0</v>
      </c>
      <c r="O30" s="37">
        <f>Oct!I31</f>
        <v>0</v>
      </c>
      <c r="P30" s="37">
        <f>Nov!I31</f>
        <v>0</v>
      </c>
      <c r="Q30" s="37">
        <f>Dec!I31</f>
        <v>0</v>
      </c>
      <c r="R30" s="37">
        <f t="shared" si="0"/>
        <v>500</v>
      </c>
    </row>
    <row r="31" spans="3:18" ht="18" x14ac:dyDescent="0.45">
      <c r="C31" s="79">
        <v>25</v>
      </c>
      <c r="D31" s="37" t="s">
        <v>76</v>
      </c>
      <c r="E31" s="41" t="s">
        <v>77</v>
      </c>
      <c r="F31" s="72">
        <f>January!I31</f>
        <v>100</v>
      </c>
      <c r="G31" s="72">
        <f>Feb.!I31</f>
        <v>100</v>
      </c>
      <c r="H31" s="37">
        <f>Mar.!I31</f>
        <v>100</v>
      </c>
      <c r="I31" s="37">
        <f>Apr.!I32</f>
        <v>100</v>
      </c>
      <c r="J31" s="37">
        <f>May!I32</f>
        <v>100</v>
      </c>
      <c r="K31" s="37">
        <f>Jun!I32</f>
        <v>100</v>
      </c>
      <c r="L31" s="37">
        <f>Jul!I32</f>
        <v>0</v>
      </c>
      <c r="M31" s="37">
        <f>Aug!I32</f>
        <v>0</v>
      </c>
      <c r="N31" s="37">
        <f>Sep!I32</f>
        <v>0</v>
      </c>
      <c r="O31" s="37">
        <f>Oct!I32</f>
        <v>0</v>
      </c>
      <c r="P31" s="37">
        <f>Nov!I32</f>
        <v>0</v>
      </c>
      <c r="Q31" s="37">
        <f>Dec!I32</f>
        <v>0</v>
      </c>
      <c r="R31" s="37">
        <f t="shared" si="0"/>
        <v>600</v>
      </c>
    </row>
    <row r="32" spans="3:18" ht="18" x14ac:dyDescent="0.45">
      <c r="C32" s="79">
        <v>26</v>
      </c>
      <c r="D32" s="37" t="s">
        <v>78</v>
      </c>
      <c r="E32" s="41" t="s">
        <v>79</v>
      </c>
      <c r="F32" s="72">
        <f>January!I32</f>
        <v>0</v>
      </c>
      <c r="G32" s="72">
        <f>Feb.!I32</f>
        <v>0</v>
      </c>
      <c r="H32" s="37">
        <f>Mar.!I32</f>
        <v>0</v>
      </c>
      <c r="I32" s="37">
        <f>Apr.!I33</f>
        <v>400</v>
      </c>
      <c r="J32" s="37">
        <f>May!I33</f>
        <v>100</v>
      </c>
      <c r="K32" s="37">
        <f>Jun!I33</f>
        <v>0</v>
      </c>
      <c r="L32" s="37">
        <f>Jul!I33</f>
        <v>0</v>
      </c>
      <c r="M32" s="37">
        <f>Aug!I33</f>
        <v>0</v>
      </c>
      <c r="N32" s="37">
        <f>Sep!I33</f>
        <v>0</v>
      </c>
      <c r="O32" s="37">
        <f>Oct!I33</f>
        <v>0</v>
      </c>
      <c r="P32" s="37">
        <f>Nov!I33</f>
        <v>0</v>
      </c>
      <c r="Q32" s="37">
        <f>Dec!I33</f>
        <v>0</v>
      </c>
      <c r="R32" s="37">
        <f t="shared" si="0"/>
        <v>500</v>
      </c>
    </row>
    <row r="33" spans="3:18" ht="23.65" thickBot="1" x14ac:dyDescent="0.5">
      <c r="C33" s="157" t="s">
        <v>80</v>
      </c>
      <c r="D33" s="158"/>
      <c r="E33" s="159"/>
      <c r="F33" s="30">
        <f>SUM(F7:F32)</f>
        <v>2800</v>
      </c>
      <c r="G33" s="30">
        <f t="shared" ref="G33:Q33" si="1">SUM(G7:G32)</f>
        <v>1000</v>
      </c>
      <c r="H33" s="30">
        <f t="shared" si="1"/>
        <v>2300</v>
      </c>
      <c r="I33" s="30">
        <f t="shared" si="1"/>
        <v>1600</v>
      </c>
      <c r="J33" s="30">
        <f t="shared" si="1"/>
        <v>1500</v>
      </c>
      <c r="K33" s="30">
        <f t="shared" si="1"/>
        <v>900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30">
        <f t="shared" si="1"/>
        <v>0</v>
      </c>
      <c r="R33" s="30">
        <f>SUM(R7:R32)</f>
        <v>10100</v>
      </c>
    </row>
    <row r="34" spans="3:18" x14ac:dyDescent="0.45"/>
    <row r="35" spans="3:18" x14ac:dyDescent="0.45">
      <c r="F35" s="36">
        <v>17270</v>
      </c>
      <c r="G35" s="36">
        <f>F38</f>
        <v>18370</v>
      </c>
      <c r="H35" s="36">
        <f>G38</f>
        <v>18380</v>
      </c>
      <c r="I35" s="36">
        <f>H38</f>
        <v>18680</v>
      </c>
    </row>
    <row r="36" spans="3:18" x14ac:dyDescent="0.45">
      <c r="F36" s="36">
        <v>1500</v>
      </c>
      <c r="G36" s="36">
        <f>Feb.!I33</f>
        <v>1000</v>
      </c>
      <c r="H36" s="36">
        <v>700</v>
      </c>
      <c r="I36" s="36">
        <f>Apr.!I35</f>
        <v>1600</v>
      </c>
    </row>
    <row r="37" spans="3:18" x14ac:dyDescent="0.45">
      <c r="F37" s="36">
        <v>-400</v>
      </c>
      <c r="G37" s="36">
        <v>-990</v>
      </c>
      <c r="H37" s="36">
        <v>-400</v>
      </c>
    </row>
    <row r="38" spans="3:18" ht="27.75" customHeight="1" x14ac:dyDescent="0.45">
      <c r="F38" s="36">
        <f>SUM(F35:F37)</f>
        <v>18370</v>
      </c>
      <c r="G38" s="36">
        <f t="shared" ref="G38:I38" si="2">SUM(G35:G37)</f>
        <v>18380</v>
      </c>
      <c r="H38" s="36">
        <f t="shared" si="2"/>
        <v>18680</v>
      </c>
      <c r="I38" s="36">
        <f t="shared" si="2"/>
        <v>20280</v>
      </c>
    </row>
    <row r="39" spans="3:18" ht="21.75" customHeight="1" x14ac:dyDescent="0.45"/>
    <row r="40" spans="3:18" x14ac:dyDescent="0.45"/>
    <row r="41" spans="3:18" x14ac:dyDescent="0.45"/>
    <row r="42" spans="3:18" x14ac:dyDescent="0.45"/>
  </sheetData>
  <mergeCells count="3">
    <mergeCell ref="C3:R3"/>
    <mergeCell ref="C4:R4"/>
    <mergeCell ref="C33:E33"/>
  </mergeCells>
  <pageMargins left="0.7" right="0.7" top="0.75" bottom="0.75" header="0.3" footer="0.3"/>
  <pageSetup scale="4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8B8E-E11B-41B3-B10D-35274466BA59}">
  <sheetPr>
    <pageSetUpPr fitToPage="1"/>
  </sheetPr>
  <dimension ref="A1:AB42"/>
  <sheetViews>
    <sheetView showGridLines="0" topLeftCell="A2" zoomScale="51" zoomScaleNormal="51" workbookViewId="0">
      <selection activeCell="D7" sqref="D7:D3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5" width="15.59765625" style="36" customWidth="1"/>
    <col min="16" max="21" width="15.59765625" customWidth="1"/>
    <col min="22" max="22" width="14.86328125" hidden="1" customWidth="1"/>
    <col min="23" max="23" width="15" hidden="1" customWidth="1"/>
    <col min="24" max="24" width="45.265625" hidden="1" customWidth="1"/>
    <col min="25" max="25" width="19" hidden="1" customWidth="1"/>
    <col min="26" max="27" width="9.1328125" hidden="1" customWidth="1"/>
    <col min="28" max="28" width="14.3984375" hidden="1" customWidth="1"/>
    <col min="29" max="16384" width="9.1328125" hidden="1"/>
  </cols>
  <sheetData>
    <row r="1" spans="3:18" x14ac:dyDescent="0.45"/>
    <row r="2" spans="3:18" x14ac:dyDescent="0.45"/>
    <row r="3" spans="3:18" ht="32.450000000000003" customHeight="1" x14ac:dyDescent="0.85">
      <c r="C3" s="176" t="s">
        <v>25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</row>
    <row r="4" spans="3:18" ht="24.6" customHeight="1" x14ac:dyDescent="0.85">
      <c r="C4" s="176" t="s">
        <v>229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</row>
    <row r="5" spans="3:18" ht="4.5" customHeight="1" thickBot="1" x14ac:dyDescent="0.5"/>
    <row r="6" spans="3:18" ht="38.450000000000003" customHeight="1" thickBot="1" x14ac:dyDescent="0.5">
      <c r="C6" s="27" t="s">
        <v>16</v>
      </c>
      <c r="D6" s="28" t="s">
        <v>26</v>
      </c>
      <c r="E6" s="29" t="s">
        <v>27</v>
      </c>
      <c r="F6" s="113" t="s">
        <v>0</v>
      </c>
      <c r="G6" s="113" t="s">
        <v>1</v>
      </c>
      <c r="H6" s="113" t="s">
        <v>2</v>
      </c>
      <c r="I6" s="113" t="s">
        <v>3</v>
      </c>
      <c r="J6" s="113" t="s">
        <v>166</v>
      </c>
      <c r="K6" s="113" t="s">
        <v>167</v>
      </c>
      <c r="L6" s="113" t="s">
        <v>175</v>
      </c>
      <c r="M6" s="113" t="s">
        <v>176</v>
      </c>
      <c r="N6" s="113" t="s">
        <v>177</v>
      </c>
      <c r="O6" s="113" t="s">
        <v>178</v>
      </c>
      <c r="P6" s="113" t="s">
        <v>179</v>
      </c>
      <c r="Q6" s="113" t="s">
        <v>180</v>
      </c>
      <c r="R6" s="43" t="s">
        <v>28</v>
      </c>
    </row>
    <row r="7" spans="3:18" ht="18" x14ac:dyDescent="0.45">
      <c r="C7" s="79">
        <v>1</v>
      </c>
      <c r="D7" s="37" t="s">
        <v>29</v>
      </c>
      <c r="E7" s="40" t="s">
        <v>30</v>
      </c>
      <c r="F7" s="72">
        <f>January!H7</f>
        <v>500</v>
      </c>
      <c r="G7" s="72">
        <f>Feb.!H7</f>
        <v>0</v>
      </c>
      <c r="H7" s="37">
        <f>Mar.!H7</f>
        <v>500</v>
      </c>
      <c r="I7" s="37">
        <f>Apr.!H8</f>
        <v>500</v>
      </c>
      <c r="J7" s="37">
        <f>May!H8</f>
        <v>500</v>
      </c>
      <c r="K7" s="37">
        <f>Jun!H8</f>
        <v>500</v>
      </c>
      <c r="L7" s="37">
        <f>Jul!H8</f>
        <v>0</v>
      </c>
      <c r="M7" s="37">
        <f>Aug!H8</f>
        <v>0</v>
      </c>
      <c r="N7" s="37">
        <f>Sep!H8</f>
        <v>0</v>
      </c>
      <c r="O7" s="37">
        <f>Oct!H8</f>
        <v>0</v>
      </c>
      <c r="P7" s="37">
        <f>Nov!H8</f>
        <v>0</v>
      </c>
      <c r="Q7" s="37">
        <f>Dec!H8</f>
        <v>0</v>
      </c>
      <c r="R7" s="37">
        <f>SUM(F7:Q7)</f>
        <v>2500</v>
      </c>
    </row>
    <row r="8" spans="3:18" ht="18" x14ac:dyDescent="0.45">
      <c r="C8" s="79">
        <v>2</v>
      </c>
      <c r="D8" s="37" t="s">
        <v>194</v>
      </c>
      <c r="E8" s="40" t="s">
        <v>31</v>
      </c>
      <c r="F8" s="72">
        <f>January!H8</f>
        <v>500</v>
      </c>
      <c r="G8" s="72">
        <f>Feb.!H8</f>
        <v>500</v>
      </c>
      <c r="H8" s="37">
        <f>Mar.!H8</f>
        <v>500</v>
      </c>
      <c r="I8" s="37">
        <f>Apr.!H9</f>
        <v>500</v>
      </c>
      <c r="J8" s="37">
        <f>May!H9</f>
        <v>500</v>
      </c>
      <c r="K8" s="37">
        <f>Jun!H9</f>
        <v>500</v>
      </c>
      <c r="L8" s="37">
        <f>Jul!H9</f>
        <v>0</v>
      </c>
      <c r="M8" s="37">
        <f>Aug!H9</f>
        <v>0</v>
      </c>
      <c r="N8" s="37">
        <f>Sep!H9</f>
        <v>0</v>
      </c>
      <c r="O8" s="37">
        <f>Oct!H9</f>
        <v>0</v>
      </c>
      <c r="P8" s="37">
        <f>Nov!H9</f>
        <v>0</v>
      </c>
      <c r="Q8" s="37">
        <f>Dec!H9</f>
        <v>0</v>
      </c>
      <c r="R8" s="37">
        <f t="shared" ref="R8:R32" si="0">SUM(F8:Q8)</f>
        <v>3000</v>
      </c>
    </row>
    <row r="9" spans="3:18" ht="18" x14ac:dyDescent="0.45">
      <c r="C9" s="79">
        <v>3</v>
      </c>
      <c r="D9" s="37" t="s">
        <v>32</v>
      </c>
      <c r="E9" s="40" t="s">
        <v>33</v>
      </c>
      <c r="F9" s="72">
        <f>January!H9</f>
        <v>0</v>
      </c>
      <c r="G9" s="72">
        <f>Feb.!H9</f>
        <v>0</v>
      </c>
      <c r="H9" s="37">
        <f>Mar.!H9</f>
        <v>0</v>
      </c>
      <c r="I9" s="37">
        <f>Apr.!H10</f>
        <v>0</v>
      </c>
      <c r="J9" s="37">
        <f>May!H10</f>
        <v>0</v>
      </c>
      <c r="K9" s="37">
        <f>Jun!H10</f>
        <v>0</v>
      </c>
      <c r="L9" s="37">
        <f>Jul!H10</f>
        <v>0</v>
      </c>
      <c r="M9" s="37">
        <f>Aug!H10</f>
        <v>0</v>
      </c>
      <c r="N9" s="37">
        <f>Sep!H10</f>
        <v>0</v>
      </c>
      <c r="O9" s="37">
        <f>Oct!H10</f>
        <v>0</v>
      </c>
      <c r="P9" s="37">
        <f>Nov!H10</f>
        <v>0</v>
      </c>
      <c r="Q9" s="37">
        <f>Dec!H10</f>
        <v>0</v>
      </c>
      <c r="R9" s="37">
        <f t="shared" si="0"/>
        <v>0</v>
      </c>
    </row>
    <row r="10" spans="3:18" ht="18" x14ac:dyDescent="0.45">
      <c r="C10" s="79">
        <v>4</v>
      </c>
      <c r="D10" s="37" t="s">
        <v>34</v>
      </c>
      <c r="E10" s="40" t="s">
        <v>35</v>
      </c>
      <c r="F10" s="72">
        <f>January!H10</f>
        <v>500</v>
      </c>
      <c r="G10" s="72">
        <f>Feb.!H10</f>
        <v>500</v>
      </c>
      <c r="H10" s="37">
        <f>Mar.!H10</f>
        <v>500</v>
      </c>
      <c r="I10" s="37">
        <f>Apr.!H11</f>
        <v>500</v>
      </c>
      <c r="J10" s="37">
        <f>May!H11</f>
        <v>500</v>
      </c>
      <c r="K10" s="37">
        <f>Jun!H11</f>
        <v>500</v>
      </c>
      <c r="L10" s="37">
        <f>Jul!H11</f>
        <v>0</v>
      </c>
      <c r="M10" s="37">
        <f>Aug!H11</f>
        <v>0</v>
      </c>
      <c r="N10" s="37">
        <f>Sep!H11</f>
        <v>0</v>
      </c>
      <c r="O10" s="37">
        <f>Oct!H11</f>
        <v>0</v>
      </c>
      <c r="P10" s="37">
        <f>Nov!H11</f>
        <v>0</v>
      </c>
      <c r="Q10" s="37">
        <f>Dec!H11</f>
        <v>0</v>
      </c>
      <c r="R10" s="37">
        <f t="shared" si="0"/>
        <v>3000</v>
      </c>
    </row>
    <row r="11" spans="3:18" ht="18" x14ac:dyDescent="0.45">
      <c r="C11" s="79">
        <v>5</v>
      </c>
      <c r="D11" s="37" t="s">
        <v>36</v>
      </c>
      <c r="E11" s="40" t="s">
        <v>37</v>
      </c>
      <c r="F11" s="72">
        <f>January!H11</f>
        <v>500</v>
      </c>
      <c r="G11" s="72">
        <f>Feb.!H11</f>
        <v>500</v>
      </c>
      <c r="H11" s="37">
        <f>Mar.!H11</f>
        <v>1000</v>
      </c>
      <c r="I11" s="37">
        <f>Apr.!H12</f>
        <v>500</v>
      </c>
      <c r="J11" s="37">
        <f>May!H12</f>
        <v>500</v>
      </c>
      <c r="K11" s="37">
        <f>Jun!H12</f>
        <v>500</v>
      </c>
      <c r="L11" s="37">
        <f>Jul!H12</f>
        <v>0</v>
      </c>
      <c r="M11" s="37">
        <f>Aug!H12</f>
        <v>0</v>
      </c>
      <c r="N11" s="37">
        <f>Sep!H12</f>
        <v>0</v>
      </c>
      <c r="O11" s="37">
        <f>Oct!H12</f>
        <v>0</v>
      </c>
      <c r="P11" s="37">
        <f>Nov!H12</f>
        <v>0</v>
      </c>
      <c r="Q11" s="37">
        <f>Dec!H12</f>
        <v>0</v>
      </c>
      <c r="R11" s="37">
        <f t="shared" si="0"/>
        <v>3500</v>
      </c>
    </row>
    <row r="12" spans="3:18" ht="18" x14ac:dyDescent="0.45">
      <c r="C12" s="79">
        <v>6</v>
      </c>
      <c r="D12" s="37" t="s">
        <v>38</v>
      </c>
      <c r="E12" s="40" t="s">
        <v>39</v>
      </c>
      <c r="F12" s="72">
        <f>January!H12</f>
        <v>500</v>
      </c>
      <c r="G12" s="72">
        <f>Feb.!H12</f>
        <v>500</v>
      </c>
      <c r="H12" s="37">
        <f>Mar.!H12</f>
        <v>500</v>
      </c>
      <c r="I12" s="37">
        <f>Apr.!H13</f>
        <v>500</v>
      </c>
      <c r="J12" s="37">
        <f>May!H13</f>
        <v>500</v>
      </c>
      <c r="K12" s="37">
        <f>Jun!H13</f>
        <v>500</v>
      </c>
      <c r="L12" s="37">
        <f>Jul!H13</f>
        <v>0</v>
      </c>
      <c r="M12" s="37">
        <f>Aug!H13</f>
        <v>0</v>
      </c>
      <c r="N12" s="37">
        <f>Sep!H13</f>
        <v>0</v>
      </c>
      <c r="O12" s="37">
        <f>Oct!H13</f>
        <v>0</v>
      </c>
      <c r="P12" s="37">
        <f>Nov!H13</f>
        <v>0</v>
      </c>
      <c r="Q12" s="37">
        <f>Dec!H13</f>
        <v>0</v>
      </c>
      <c r="R12" s="37">
        <f t="shared" si="0"/>
        <v>3000</v>
      </c>
    </row>
    <row r="13" spans="3:18" ht="18" x14ac:dyDescent="0.45">
      <c r="C13" s="79">
        <v>7</v>
      </c>
      <c r="D13" s="37" t="s">
        <v>40</v>
      </c>
      <c r="E13" s="40" t="s">
        <v>41</v>
      </c>
      <c r="F13" s="72">
        <f>January!H13</f>
        <v>0</v>
      </c>
      <c r="G13" s="72">
        <f>Feb.!H13</f>
        <v>0</v>
      </c>
      <c r="H13" s="37">
        <f>Mar.!H13</f>
        <v>0</v>
      </c>
      <c r="I13" s="37">
        <f>Apr.!H14</f>
        <v>0</v>
      </c>
      <c r="J13" s="37">
        <f>May!H14</f>
        <v>4200</v>
      </c>
      <c r="K13" s="37">
        <f>Jun!H14</f>
        <v>0</v>
      </c>
      <c r="L13" s="37">
        <f>Jul!H14</f>
        <v>0</v>
      </c>
      <c r="M13" s="37">
        <f>Aug!H14</f>
        <v>0</v>
      </c>
      <c r="N13" s="37">
        <f>Sep!H14</f>
        <v>0</v>
      </c>
      <c r="O13" s="37">
        <f>Oct!H14</f>
        <v>0</v>
      </c>
      <c r="P13" s="37">
        <f>Nov!H14</f>
        <v>0</v>
      </c>
      <c r="Q13" s="37">
        <f>Dec!H14</f>
        <v>0</v>
      </c>
      <c r="R13" s="37">
        <f t="shared" si="0"/>
        <v>4200</v>
      </c>
    </row>
    <row r="14" spans="3:18" ht="18" x14ac:dyDescent="0.45">
      <c r="C14" s="79">
        <v>8</v>
      </c>
      <c r="D14" s="37" t="s">
        <v>42</v>
      </c>
      <c r="E14" s="41" t="s">
        <v>43</v>
      </c>
      <c r="F14" s="72">
        <f>January!H14</f>
        <v>300</v>
      </c>
      <c r="G14" s="72">
        <f>Feb.!H14</f>
        <v>0</v>
      </c>
      <c r="H14" s="37">
        <f>Mar.!H14</f>
        <v>600</v>
      </c>
      <c r="I14" s="37">
        <f>Apr.!H15</f>
        <v>300</v>
      </c>
      <c r="J14" s="37">
        <f>May!H15</f>
        <v>300</v>
      </c>
      <c r="K14" s="37">
        <f>Jun!H15</f>
        <v>0</v>
      </c>
      <c r="L14" s="37">
        <f>Jul!H15</f>
        <v>0</v>
      </c>
      <c r="M14" s="37">
        <f>Aug!H15</f>
        <v>0</v>
      </c>
      <c r="N14" s="37">
        <f>Sep!H15</f>
        <v>0</v>
      </c>
      <c r="O14" s="37">
        <f>Oct!H15</f>
        <v>0</v>
      </c>
      <c r="P14" s="37">
        <f>Nov!H15</f>
        <v>0</v>
      </c>
      <c r="Q14" s="37">
        <f>Dec!H15</f>
        <v>0</v>
      </c>
      <c r="R14" s="37">
        <f t="shared" si="0"/>
        <v>1500</v>
      </c>
    </row>
    <row r="15" spans="3:18" ht="18" x14ac:dyDescent="0.45">
      <c r="C15" s="79">
        <v>9</v>
      </c>
      <c r="D15" s="37" t="s">
        <v>44</v>
      </c>
      <c r="E15" s="41" t="s">
        <v>45</v>
      </c>
      <c r="F15" s="72">
        <f>January!H15</f>
        <v>500</v>
      </c>
      <c r="G15" s="72">
        <f>Feb.!H15</f>
        <v>500</v>
      </c>
      <c r="H15" s="37">
        <f>Mar.!H15</f>
        <v>500</v>
      </c>
      <c r="I15" s="37">
        <f>Apr.!H16</f>
        <v>500</v>
      </c>
      <c r="J15" s="37">
        <f>May!H16</f>
        <v>500</v>
      </c>
      <c r="K15" s="37">
        <f>Jun!H16</f>
        <v>0</v>
      </c>
      <c r="L15" s="37">
        <f>Jul!H16</f>
        <v>0</v>
      </c>
      <c r="M15" s="37">
        <f>Aug!H16</f>
        <v>0</v>
      </c>
      <c r="N15" s="37">
        <f>Sep!H16</f>
        <v>0</v>
      </c>
      <c r="O15" s="37">
        <f>Oct!H16</f>
        <v>0</v>
      </c>
      <c r="P15" s="37">
        <f>Nov!H16</f>
        <v>0</v>
      </c>
      <c r="Q15" s="37">
        <f>Dec!H16</f>
        <v>0</v>
      </c>
      <c r="R15" s="37">
        <f t="shared" si="0"/>
        <v>2500</v>
      </c>
    </row>
    <row r="16" spans="3:18" ht="18" x14ac:dyDescent="0.45">
      <c r="C16" s="79">
        <v>10</v>
      </c>
      <c r="D16" s="37" t="s">
        <v>46</v>
      </c>
      <c r="E16" s="41" t="s">
        <v>47</v>
      </c>
      <c r="F16" s="72">
        <f>January!H16</f>
        <v>0</v>
      </c>
      <c r="G16" s="72">
        <f>Feb.!H16</f>
        <v>0</v>
      </c>
      <c r="H16" s="37">
        <f>Mar.!H16</f>
        <v>1000</v>
      </c>
      <c r="I16" s="37">
        <f>Apr.!H17</f>
        <v>1000</v>
      </c>
      <c r="J16" s="37">
        <f>May!H17</f>
        <v>0</v>
      </c>
      <c r="K16" s="37">
        <f>Jun!H17</f>
        <v>0</v>
      </c>
      <c r="L16" s="37">
        <f>Jul!H17</f>
        <v>0</v>
      </c>
      <c r="M16" s="37">
        <f>Aug!H17</f>
        <v>0</v>
      </c>
      <c r="N16" s="37">
        <f>Sep!H17</f>
        <v>0</v>
      </c>
      <c r="O16" s="37">
        <f>Oct!H17</f>
        <v>0</v>
      </c>
      <c r="P16" s="37">
        <f>Nov!H17</f>
        <v>0</v>
      </c>
      <c r="Q16" s="37">
        <f>Dec!H17</f>
        <v>0</v>
      </c>
      <c r="R16" s="37">
        <f t="shared" si="0"/>
        <v>2000</v>
      </c>
    </row>
    <row r="17" spans="3:18" ht="18" x14ac:dyDescent="0.45">
      <c r="C17" s="79">
        <v>11</v>
      </c>
      <c r="D17" s="37" t="s">
        <v>48</v>
      </c>
      <c r="E17" s="41" t="s">
        <v>49</v>
      </c>
      <c r="F17" s="72">
        <f>January!H17</f>
        <v>0</v>
      </c>
      <c r="G17" s="72">
        <f>Feb.!H17</f>
        <v>0</v>
      </c>
      <c r="H17" s="37">
        <f>Mar.!H17</f>
        <v>2000</v>
      </c>
      <c r="I17" s="37">
        <f>Apr.!H18</f>
        <v>0</v>
      </c>
      <c r="J17" s="37">
        <f>May!H18</f>
        <v>0</v>
      </c>
      <c r="K17" s="37">
        <f>Jun!H18</f>
        <v>1000</v>
      </c>
      <c r="L17" s="37">
        <f>Jul!H18</f>
        <v>0</v>
      </c>
      <c r="M17" s="37">
        <f>Aug!H18</f>
        <v>0</v>
      </c>
      <c r="N17" s="37">
        <f>Sep!H18</f>
        <v>0</v>
      </c>
      <c r="O17" s="37">
        <f>Oct!H18</f>
        <v>0</v>
      </c>
      <c r="P17" s="37">
        <f>Nov!H18</f>
        <v>0</v>
      </c>
      <c r="Q17" s="37">
        <f>Dec!H18</f>
        <v>0</v>
      </c>
      <c r="R17" s="37">
        <f t="shared" si="0"/>
        <v>3000</v>
      </c>
    </row>
    <row r="18" spans="3:18" ht="18" x14ac:dyDescent="0.45">
      <c r="C18" s="79">
        <v>12</v>
      </c>
      <c r="D18" s="37" t="s">
        <v>50</v>
      </c>
      <c r="E18" s="41" t="s">
        <v>51</v>
      </c>
      <c r="F18" s="72">
        <f>January!H18</f>
        <v>500</v>
      </c>
      <c r="G18" s="72">
        <f>Feb.!H18</f>
        <v>500</v>
      </c>
      <c r="H18" s="37">
        <f>Mar.!H18</f>
        <v>500</v>
      </c>
      <c r="I18" s="37">
        <f>Apr.!H19</f>
        <v>500</v>
      </c>
      <c r="J18" s="37">
        <f>May!H19</f>
        <v>500</v>
      </c>
      <c r="K18" s="37">
        <f>Jun!H19</f>
        <v>500</v>
      </c>
      <c r="L18" s="37">
        <f>Jul!H19</f>
        <v>0</v>
      </c>
      <c r="M18" s="37">
        <f>Aug!H19</f>
        <v>0</v>
      </c>
      <c r="N18" s="37">
        <f>Sep!H19</f>
        <v>0</v>
      </c>
      <c r="O18" s="37">
        <f>Oct!H19</f>
        <v>0</v>
      </c>
      <c r="P18" s="37">
        <f>Nov!H19</f>
        <v>0</v>
      </c>
      <c r="Q18" s="37">
        <f>Dec!H19</f>
        <v>0</v>
      </c>
      <c r="R18" s="37">
        <f t="shared" si="0"/>
        <v>3000</v>
      </c>
    </row>
    <row r="19" spans="3:18" ht="18" x14ac:dyDescent="0.45">
      <c r="C19" s="79">
        <v>13</v>
      </c>
      <c r="D19" s="37" t="s">
        <v>52</v>
      </c>
      <c r="E19" s="41" t="s">
        <v>53</v>
      </c>
      <c r="F19" s="72">
        <f>January!H19</f>
        <v>3000</v>
      </c>
      <c r="G19" s="72">
        <f>Feb.!H19</f>
        <v>0</v>
      </c>
      <c r="H19" s="37">
        <f>Mar.!H19</f>
        <v>0</v>
      </c>
      <c r="I19" s="37">
        <f>Apr.!H20</f>
        <v>0</v>
      </c>
      <c r="J19" s="37">
        <f>May!H20</f>
        <v>0</v>
      </c>
      <c r="K19" s="37">
        <f>Jun!H20</f>
        <v>0</v>
      </c>
      <c r="L19" s="37">
        <f>Jul!H20</f>
        <v>0</v>
      </c>
      <c r="M19" s="37">
        <f>Aug!H20</f>
        <v>0</v>
      </c>
      <c r="N19" s="37">
        <f>Sep!H20</f>
        <v>0</v>
      </c>
      <c r="O19" s="37">
        <f>Oct!H20</f>
        <v>0</v>
      </c>
      <c r="P19" s="37">
        <f>Nov!H20</f>
        <v>0</v>
      </c>
      <c r="Q19" s="37">
        <f>Dec!H20</f>
        <v>0</v>
      </c>
      <c r="R19" s="37">
        <f t="shared" si="0"/>
        <v>3000</v>
      </c>
    </row>
    <row r="20" spans="3:18" ht="18" x14ac:dyDescent="0.45">
      <c r="C20" s="79">
        <v>14</v>
      </c>
      <c r="D20" s="37" t="s">
        <v>169</v>
      </c>
      <c r="E20" s="41" t="s">
        <v>55</v>
      </c>
      <c r="F20" s="72">
        <f>January!H20</f>
        <v>300</v>
      </c>
      <c r="G20" s="72">
        <f>Feb.!H20</f>
        <v>0</v>
      </c>
      <c r="H20" s="37">
        <f>Mar.!H20</f>
        <v>1000</v>
      </c>
      <c r="I20" s="37">
        <f>Apr.!H21</f>
        <v>500</v>
      </c>
      <c r="J20" s="37">
        <f>May!H21</f>
        <v>500</v>
      </c>
      <c r="K20" s="37">
        <f>Jun!H21</f>
        <v>0</v>
      </c>
      <c r="L20" s="37">
        <f>Jul!H21</f>
        <v>0</v>
      </c>
      <c r="M20" s="37">
        <f>Aug!H21</f>
        <v>0</v>
      </c>
      <c r="N20" s="37">
        <f>Sep!H21</f>
        <v>0</v>
      </c>
      <c r="O20" s="37">
        <f>Oct!H21</f>
        <v>0</v>
      </c>
      <c r="P20" s="37">
        <f>Nov!H21</f>
        <v>0</v>
      </c>
      <c r="Q20" s="37">
        <f>Dec!H21</f>
        <v>0</v>
      </c>
      <c r="R20" s="37">
        <f t="shared" si="0"/>
        <v>2300</v>
      </c>
    </row>
    <row r="21" spans="3:18" ht="18" x14ac:dyDescent="0.45">
      <c r="C21" s="79">
        <v>15</v>
      </c>
      <c r="D21" s="37" t="s">
        <v>56</v>
      </c>
      <c r="E21" s="41" t="s">
        <v>57</v>
      </c>
      <c r="F21" s="72">
        <f>January!H21</f>
        <v>0</v>
      </c>
      <c r="G21" s="72">
        <f>Feb.!H21</f>
        <v>0</v>
      </c>
      <c r="H21" s="37">
        <f>Mar.!H21</f>
        <v>1500</v>
      </c>
      <c r="I21" s="37">
        <f>Apr.!H22</f>
        <v>500</v>
      </c>
      <c r="J21" s="37">
        <f>May!H22</f>
        <v>500</v>
      </c>
      <c r="K21" s="37">
        <f>Jun!H22</f>
        <v>0</v>
      </c>
      <c r="L21" s="37">
        <f>Jul!H22</f>
        <v>0</v>
      </c>
      <c r="M21" s="37">
        <f>Aug!H22</f>
        <v>0</v>
      </c>
      <c r="N21" s="37">
        <f>Sep!H22</f>
        <v>0</v>
      </c>
      <c r="O21" s="37">
        <f>Oct!H22</f>
        <v>0</v>
      </c>
      <c r="P21" s="37">
        <f>Nov!H22</f>
        <v>0</v>
      </c>
      <c r="Q21" s="37">
        <f>Dec!H22</f>
        <v>0</v>
      </c>
      <c r="R21" s="37">
        <f t="shared" si="0"/>
        <v>2500</v>
      </c>
    </row>
    <row r="22" spans="3:18" ht="25.5" customHeight="1" x14ac:dyDescent="0.45">
      <c r="C22" s="79">
        <v>16</v>
      </c>
      <c r="D22" s="37" t="s">
        <v>58</v>
      </c>
      <c r="E22" s="41" t="s">
        <v>59</v>
      </c>
      <c r="F22" s="72">
        <f>January!H22</f>
        <v>0</v>
      </c>
      <c r="G22" s="72">
        <f>Feb.!H22</f>
        <v>0</v>
      </c>
      <c r="H22" s="37">
        <f>Mar.!H22</f>
        <v>0</v>
      </c>
      <c r="I22" s="37">
        <f>Apr.!H23</f>
        <v>0</v>
      </c>
      <c r="J22" s="37">
        <f>May!H23</f>
        <v>0</v>
      </c>
      <c r="K22" s="37">
        <f>Jun!H23</f>
        <v>0</v>
      </c>
      <c r="L22" s="37">
        <f>Jul!H23</f>
        <v>0</v>
      </c>
      <c r="M22" s="37">
        <f>Aug!H23</f>
        <v>0</v>
      </c>
      <c r="N22" s="37">
        <f>Sep!H23</f>
        <v>0</v>
      </c>
      <c r="O22" s="37">
        <f>Oct!H23</f>
        <v>0</v>
      </c>
      <c r="P22" s="37">
        <f>Nov!H23</f>
        <v>0</v>
      </c>
      <c r="Q22" s="37">
        <f>Dec!H23</f>
        <v>0</v>
      </c>
      <c r="R22" s="37">
        <f t="shared" si="0"/>
        <v>0</v>
      </c>
    </row>
    <row r="23" spans="3:18" ht="18" x14ac:dyDescent="0.45">
      <c r="C23" s="79">
        <v>17</v>
      </c>
      <c r="D23" s="37" t="s">
        <v>60</v>
      </c>
      <c r="E23" s="41" t="s">
        <v>61</v>
      </c>
      <c r="F23" s="72">
        <f>January!H23</f>
        <v>500</v>
      </c>
      <c r="G23" s="72">
        <f>Feb.!H23</f>
        <v>0</v>
      </c>
      <c r="H23" s="37">
        <f>Mar.!H23</f>
        <v>0</v>
      </c>
      <c r="I23" s="37">
        <f>Apr.!H24</f>
        <v>0</v>
      </c>
      <c r="J23" s="37">
        <f>May!H24</f>
        <v>0</v>
      </c>
      <c r="K23" s="37">
        <f>Jun!H24</f>
        <v>0</v>
      </c>
      <c r="L23" s="37">
        <f>Jul!H24</f>
        <v>0</v>
      </c>
      <c r="M23" s="37">
        <f>Aug!H24</f>
        <v>0</v>
      </c>
      <c r="N23" s="37">
        <f>Sep!H24</f>
        <v>0</v>
      </c>
      <c r="O23" s="37">
        <f>Oct!H24</f>
        <v>0</v>
      </c>
      <c r="P23" s="37">
        <f>Nov!H24</f>
        <v>0</v>
      </c>
      <c r="Q23" s="37">
        <f>Dec!H24</f>
        <v>0</v>
      </c>
      <c r="R23" s="37">
        <f t="shared" si="0"/>
        <v>500</v>
      </c>
    </row>
    <row r="24" spans="3:18" ht="18" x14ac:dyDescent="0.45">
      <c r="C24" s="79">
        <v>18</v>
      </c>
      <c r="D24" s="37" t="s">
        <v>181</v>
      </c>
      <c r="E24" s="41" t="s">
        <v>63</v>
      </c>
      <c r="F24" s="72">
        <f>January!H24</f>
        <v>0</v>
      </c>
      <c r="G24" s="72">
        <f>Feb.!H24</f>
        <v>0</v>
      </c>
      <c r="H24" s="37">
        <f>Mar.!H24</f>
        <v>0</v>
      </c>
      <c r="I24" s="37">
        <f>Apr.!H25</f>
        <v>0</v>
      </c>
      <c r="J24" s="37">
        <f>May!H25</f>
        <v>0</v>
      </c>
      <c r="K24" s="37">
        <f>Jun!H25</f>
        <v>0</v>
      </c>
      <c r="L24" s="37">
        <f>Jul!H25</f>
        <v>0</v>
      </c>
      <c r="M24" s="37">
        <f>Aug!H25</f>
        <v>0</v>
      </c>
      <c r="N24" s="37">
        <f>Sep!H25</f>
        <v>0</v>
      </c>
      <c r="O24" s="37">
        <f>Oct!H25</f>
        <v>0</v>
      </c>
      <c r="P24" s="37">
        <f>Nov!H25</f>
        <v>0</v>
      </c>
      <c r="Q24" s="37">
        <f>Dec!H25</f>
        <v>0</v>
      </c>
      <c r="R24" s="37">
        <f t="shared" si="0"/>
        <v>0</v>
      </c>
    </row>
    <row r="25" spans="3:18" ht="18" x14ac:dyDescent="0.45">
      <c r="C25" s="79">
        <v>19</v>
      </c>
      <c r="D25" s="37" t="s">
        <v>64</v>
      </c>
      <c r="E25" s="41" t="s">
        <v>65</v>
      </c>
      <c r="F25" s="72">
        <f>January!H25</f>
        <v>500</v>
      </c>
      <c r="G25" s="72">
        <f>Feb.!H25</f>
        <v>500</v>
      </c>
      <c r="H25" s="37">
        <f>Mar.!H25</f>
        <v>500</v>
      </c>
      <c r="I25" s="37">
        <f>Apr.!H26</f>
        <v>500</v>
      </c>
      <c r="J25" s="37">
        <f>May!H26</f>
        <v>500</v>
      </c>
      <c r="K25" s="37">
        <f>Jun!H26</f>
        <v>500</v>
      </c>
      <c r="L25" s="37">
        <f>Jul!H26</f>
        <v>0</v>
      </c>
      <c r="M25" s="37">
        <f>Aug!H26</f>
        <v>0</v>
      </c>
      <c r="N25" s="37">
        <f>Sep!H26</f>
        <v>0</v>
      </c>
      <c r="O25" s="37">
        <f>Oct!H26</f>
        <v>0</v>
      </c>
      <c r="P25" s="37">
        <f>Nov!H26</f>
        <v>0</v>
      </c>
      <c r="Q25" s="37">
        <f>Dec!H26</f>
        <v>0</v>
      </c>
      <c r="R25" s="37">
        <f t="shared" si="0"/>
        <v>3000</v>
      </c>
    </row>
    <row r="26" spans="3:18" ht="18" x14ac:dyDescent="0.45">
      <c r="C26" s="79">
        <v>20</v>
      </c>
      <c r="D26" s="37" t="s">
        <v>130</v>
      </c>
      <c r="E26" s="41" t="s">
        <v>67</v>
      </c>
      <c r="F26" s="72">
        <f>January!H26</f>
        <v>500</v>
      </c>
      <c r="G26" s="72">
        <f>Feb.!H26</f>
        <v>500</v>
      </c>
      <c r="H26" s="37">
        <f>Mar.!H26</f>
        <v>600</v>
      </c>
      <c r="I26" s="37">
        <f>Apr.!H27</f>
        <v>0</v>
      </c>
      <c r="J26" s="37">
        <f>May!H27</f>
        <v>500</v>
      </c>
      <c r="K26" s="37">
        <f>Jun!H27</f>
        <v>0</v>
      </c>
      <c r="L26" s="37">
        <f>Jul!H27</f>
        <v>0</v>
      </c>
      <c r="M26" s="37">
        <f>Aug!H27</f>
        <v>0</v>
      </c>
      <c r="N26" s="37">
        <f>Sep!H27</f>
        <v>0</v>
      </c>
      <c r="O26" s="37">
        <f>Oct!H27</f>
        <v>0</v>
      </c>
      <c r="P26" s="37">
        <f>Nov!H27</f>
        <v>0</v>
      </c>
      <c r="Q26" s="37">
        <f>Dec!H27</f>
        <v>0</v>
      </c>
      <c r="R26" s="37">
        <f t="shared" si="0"/>
        <v>2100</v>
      </c>
    </row>
    <row r="27" spans="3:18" ht="18" x14ac:dyDescent="0.45">
      <c r="C27" s="79">
        <v>21</v>
      </c>
      <c r="D27" s="37" t="s">
        <v>68</v>
      </c>
      <c r="E27" s="41" t="s">
        <v>69</v>
      </c>
      <c r="F27" s="72">
        <f>January!H27</f>
        <v>500</v>
      </c>
      <c r="G27" s="72">
        <f>Feb.!H27</f>
        <v>1000</v>
      </c>
      <c r="H27" s="37">
        <f>Mar.!H27</f>
        <v>0</v>
      </c>
      <c r="I27" s="37">
        <f>Apr.!H28</f>
        <v>0</v>
      </c>
      <c r="J27" s="37">
        <f>May!H28</f>
        <v>1000</v>
      </c>
      <c r="K27" s="37">
        <f>Jun!H28</f>
        <v>0</v>
      </c>
      <c r="L27" s="37">
        <f>Jul!H28</f>
        <v>0</v>
      </c>
      <c r="M27" s="37">
        <f>Aug!H28</f>
        <v>0</v>
      </c>
      <c r="N27" s="37">
        <f>Sep!H28</f>
        <v>0</v>
      </c>
      <c r="O27" s="37">
        <f>Oct!H28</f>
        <v>0</v>
      </c>
      <c r="P27" s="37">
        <f>Nov!H28</f>
        <v>0</v>
      </c>
      <c r="Q27" s="37">
        <f>Dec!H28</f>
        <v>0</v>
      </c>
      <c r="R27" s="37">
        <f t="shared" si="0"/>
        <v>2500</v>
      </c>
    </row>
    <row r="28" spans="3:18" ht="18" x14ac:dyDescent="0.45">
      <c r="C28" s="79">
        <v>22</v>
      </c>
      <c r="D28" s="37" t="s">
        <v>70</v>
      </c>
      <c r="E28" s="41" t="s">
        <v>71</v>
      </c>
      <c r="F28" s="72">
        <f>January!H28</f>
        <v>500</v>
      </c>
      <c r="G28" s="72">
        <f>Feb.!H28</f>
        <v>500</v>
      </c>
      <c r="H28" s="37">
        <f>Mar.!H28</f>
        <v>500</v>
      </c>
      <c r="I28" s="37">
        <f>Apr.!H29</f>
        <v>500</v>
      </c>
      <c r="J28" s="37">
        <f>May!H29</f>
        <v>500</v>
      </c>
      <c r="K28" s="37">
        <f>Jun!H29</f>
        <v>500</v>
      </c>
      <c r="L28" s="37">
        <f>Jul!H29</f>
        <v>0</v>
      </c>
      <c r="M28" s="37">
        <f>Aug!H29</f>
        <v>0</v>
      </c>
      <c r="N28" s="37">
        <f>Sep!H29</f>
        <v>0</v>
      </c>
      <c r="O28" s="37">
        <f>Oct!H29</f>
        <v>0</v>
      </c>
      <c r="P28" s="37">
        <f>Nov!H29</f>
        <v>0</v>
      </c>
      <c r="Q28" s="37">
        <f>Dec!H29</f>
        <v>0</v>
      </c>
      <c r="R28" s="37">
        <f t="shared" si="0"/>
        <v>3000</v>
      </c>
    </row>
    <row r="29" spans="3:18" ht="18" x14ac:dyDescent="0.45">
      <c r="C29" s="79">
        <v>23</v>
      </c>
      <c r="D29" s="37" t="s">
        <v>72</v>
      </c>
      <c r="E29" s="41" t="s">
        <v>73</v>
      </c>
      <c r="F29" s="72">
        <f>January!H29</f>
        <v>4900</v>
      </c>
      <c r="G29" s="72">
        <f>Feb.!H29</f>
        <v>500</v>
      </c>
      <c r="H29" s="37">
        <f>Mar.!H29</f>
        <v>500</v>
      </c>
      <c r="I29" s="37">
        <f>Apr.!H30</f>
        <v>500</v>
      </c>
      <c r="J29" s="37">
        <f>May!H30</f>
        <v>500</v>
      </c>
      <c r="K29" s="37">
        <f>Jun!H30</f>
        <v>500</v>
      </c>
      <c r="L29" s="37">
        <f>Jul!H30</f>
        <v>0</v>
      </c>
      <c r="M29" s="37">
        <f>Aug!H30</f>
        <v>0</v>
      </c>
      <c r="N29" s="37">
        <f>Sep!H30</f>
        <v>0</v>
      </c>
      <c r="O29" s="37">
        <f>Oct!H30</f>
        <v>0</v>
      </c>
      <c r="P29" s="37">
        <f>Nov!H30</f>
        <v>0</v>
      </c>
      <c r="Q29" s="37">
        <f>Dec!H30</f>
        <v>0</v>
      </c>
      <c r="R29" s="37">
        <f t="shared" si="0"/>
        <v>7400</v>
      </c>
    </row>
    <row r="30" spans="3:18" ht="18" x14ac:dyDescent="0.45">
      <c r="C30" s="79">
        <v>24</v>
      </c>
      <c r="D30" s="37" t="s">
        <v>74</v>
      </c>
      <c r="E30" s="41" t="s">
        <v>75</v>
      </c>
      <c r="F30" s="72">
        <f>January!H30</f>
        <v>500</v>
      </c>
      <c r="G30" s="72">
        <f>Feb.!H30</f>
        <v>0</v>
      </c>
      <c r="H30" s="37">
        <f>Mar.!H30</f>
        <v>500</v>
      </c>
      <c r="I30" s="37">
        <f>Apr.!H31</f>
        <v>500</v>
      </c>
      <c r="J30" s="37">
        <f>May!H31</f>
        <v>1000</v>
      </c>
      <c r="K30" s="37">
        <f>Jun!H31</f>
        <v>0</v>
      </c>
      <c r="L30" s="37">
        <f>Jul!H31</f>
        <v>0</v>
      </c>
      <c r="M30" s="37">
        <f>Aug!H31</f>
        <v>0</v>
      </c>
      <c r="N30" s="37">
        <f>Sep!H31</f>
        <v>0</v>
      </c>
      <c r="O30" s="37">
        <f>Oct!H31</f>
        <v>0</v>
      </c>
      <c r="P30" s="37">
        <f>Nov!H31</f>
        <v>0</v>
      </c>
      <c r="Q30" s="37">
        <f>Dec!H31</f>
        <v>0</v>
      </c>
      <c r="R30" s="37">
        <f t="shared" si="0"/>
        <v>2500</v>
      </c>
    </row>
    <row r="31" spans="3:18" ht="18" x14ac:dyDescent="0.45">
      <c r="C31" s="79">
        <v>25</v>
      </c>
      <c r="D31" s="37" t="s">
        <v>76</v>
      </c>
      <c r="E31" s="41" t="s">
        <v>77</v>
      </c>
      <c r="F31" s="72">
        <f>January!H31</f>
        <v>500</v>
      </c>
      <c r="G31" s="72">
        <f>Feb.!H31</f>
        <v>500</v>
      </c>
      <c r="H31" s="37">
        <f>Mar.!H31</f>
        <v>500</v>
      </c>
      <c r="I31" s="37">
        <f>Apr.!H32</f>
        <v>500</v>
      </c>
      <c r="J31" s="37">
        <f>May!H32</f>
        <v>500</v>
      </c>
      <c r="K31" s="37">
        <f>Jun!H32</f>
        <v>500</v>
      </c>
      <c r="L31" s="37">
        <f>Jul!H32</f>
        <v>0</v>
      </c>
      <c r="M31" s="37">
        <f>Aug!H32</f>
        <v>0</v>
      </c>
      <c r="N31" s="37">
        <f>Sep!H32</f>
        <v>0</v>
      </c>
      <c r="O31" s="37">
        <f>Oct!H32</f>
        <v>0</v>
      </c>
      <c r="P31" s="37">
        <f>Nov!H32</f>
        <v>0</v>
      </c>
      <c r="Q31" s="37">
        <f>Dec!H32</f>
        <v>0</v>
      </c>
      <c r="R31" s="37">
        <f t="shared" si="0"/>
        <v>3000</v>
      </c>
    </row>
    <row r="32" spans="3:18" ht="18" x14ac:dyDescent="0.45">
      <c r="C32" s="79">
        <v>26</v>
      </c>
      <c r="D32" s="37" t="s">
        <v>78</v>
      </c>
      <c r="E32" s="41" t="s">
        <v>79</v>
      </c>
      <c r="F32" s="72">
        <f>January!H32</f>
        <v>0</v>
      </c>
      <c r="G32" s="72">
        <f>Feb.!H32</f>
        <v>0</v>
      </c>
      <c r="H32" s="37">
        <f>Mar.!H32</f>
        <v>0</v>
      </c>
      <c r="I32" s="37">
        <f>Apr.!H33</f>
        <v>1200</v>
      </c>
      <c r="J32" s="37">
        <f>May!H33</f>
        <v>300</v>
      </c>
      <c r="K32" s="37">
        <f>Jun!H33</f>
        <v>0</v>
      </c>
      <c r="L32" s="37">
        <f>Jul!H33</f>
        <v>0</v>
      </c>
      <c r="M32" s="37">
        <f>Aug!H33</f>
        <v>0</v>
      </c>
      <c r="N32" s="37">
        <f>Sep!H33</f>
        <v>0</v>
      </c>
      <c r="O32" s="37">
        <f>Oct!H33</f>
        <v>0</v>
      </c>
      <c r="P32" s="37">
        <f>Nov!H33</f>
        <v>0</v>
      </c>
      <c r="Q32" s="37">
        <f>Dec!H33</f>
        <v>0</v>
      </c>
      <c r="R32" s="37">
        <f t="shared" si="0"/>
        <v>1500</v>
      </c>
    </row>
    <row r="33" spans="3:18" ht="23.65" thickBot="1" x14ac:dyDescent="0.5">
      <c r="C33" s="157" t="s">
        <v>80</v>
      </c>
      <c r="D33" s="158"/>
      <c r="E33" s="159"/>
      <c r="F33" s="30">
        <f>SUM(F7:F32)</f>
        <v>15500</v>
      </c>
      <c r="G33" s="30">
        <f t="shared" ref="G33:Q33" si="1">SUM(G7:G32)</f>
        <v>6500</v>
      </c>
      <c r="H33" s="30">
        <f t="shared" si="1"/>
        <v>13200</v>
      </c>
      <c r="I33" s="30">
        <f t="shared" si="1"/>
        <v>9500</v>
      </c>
      <c r="J33" s="30">
        <f t="shared" si="1"/>
        <v>13800</v>
      </c>
      <c r="K33" s="30">
        <f t="shared" si="1"/>
        <v>6000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30">
        <f t="shared" si="1"/>
        <v>0</v>
      </c>
      <c r="R33" s="30">
        <f>SUM(R7:R32)</f>
        <v>64500</v>
      </c>
    </row>
    <row r="34" spans="3:18" x14ac:dyDescent="0.45"/>
    <row r="35" spans="3:18" x14ac:dyDescent="0.45"/>
    <row r="36" spans="3:18" x14ac:dyDescent="0.45"/>
    <row r="37" spans="3:18" x14ac:dyDescent="0.45"/>
    <row r="38" spans="3:18" ht="27.75" customHeight="1" x14ac:dyDescent="0.45"/>
    <row r="39" spans="3:18" ht="21.75" customHeight="1" x14ac:dyDescent="0.45"/>
    <row r="40" spans="3:18" x14ac:dyDescent="0.45"/>
    <row r="41" spans="3:18" x14ac:dyDescent="0.45"/>
    <row r="42" spans="3:18" x14ac:dyDescent="0.45"/>
  </sheetData>
  <mergeCells count="3">
    <mergeCell ref="C3:R3"/>
    <mergeCell ref="C4:R4"/>
    <mergeCell ref="C33:E33"/>
  </mergeCells>
  <phoneticPr fontId="12" type="noConversion"/>
  <pageMargins left="0.7" right="0.7" top="0.75" bottom="0.75" header="0.3" footer="0.3"/>
  <pageSetup scale="4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C345-80AD-49AC-8355-6063465308D9}">
  <sheetPr>
    <pageSetUpPr fitToPage="1"/>
  </sheetPr>
  <dimension ref="A1:AB40"/>
  <sheetViews>
    <sheetView showGridLines="0" zoomScale="55" zoomScaleNormal="55" workbookViewId="0">
      <selection activeCell="D7" sqref="D7:D3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2" width="15.59765625" style="36" customWidth="1"/>
    <col min="13" max="15" width="18.3984375" style="36" customWidth="1"/>
    <col min="16" max="17" width="18.3984375" customWidth="1"/>
    <col min="18" max="20" width="15.59765625" customWidth="1"/>
    <col min="21" max="21" width="15.59765625" hidden="1" customWidth="1"/>
    <col min="22" max="22" width="14.86328125" hidden="1" customWidth="1"/>
    <col min="23" max="23" width="15" hidden="1" customWidth="1"/>
    <col min="24" max="24" width="45.265625" hidden="1" customWidth="1"/>
    <col min="25" max="25" width="19" hidden="1" customWidth="1"/>
    <col min="26" max="27" width="9.1328125" hidden="1" customWidth="1"/>
    <col min="28" max="28" width="14.3984375" hidden="1" customWidth="1"/>
    <col min="29" max="16384" width="9.1328125" hidden="1"/>
  </cols>
  <sheetData>
    <row r="1" spans="3:18" x14ac:dyDescent="0.45"/>
    <row r="2" spans="3:18" x14ac:dyDescent="0.45"/>
    <row r="3" spans="3:18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</row>
    <row r="4" spans="3:18" ht="23.25" x14ac:dyDescent="0.7">
      <c r="C4" s="162" t="s">
        <v>200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3:18" ht="4.5" customHeight="1" thickBot="1" x14ac:dyDescent="0.5"/>
    <row r="6" spans="3:18" ht="46.5" customHeight="1" thickBot="1" x14ac:dyDescent="0.5">
      <c r="C6" s="27" t="s">
        <v>16</v>
      </c>
      <c r="D6" s="28" t="s">
        <v>26</v>
      </c>
      <c r="E6" s="29" t="s">
        <v>27</v>
      </c>
      <c r="F6" s="133" t="s">
        <v>0</v>
      </c>
      <c r="G6" s="133" t="s">
        <v>1</v>
      </c>
      <c r="H6" s="133" t="s">
        <v>2</v>
      </c>
      <c r="I6" s="133" t="s">
        <v>3</v>
      </c>
      <c r="J6" s="133" t="s">
        <v>166</v>
      </c>
      <c r="K6" s="133" t="s">
        <v>167</v>
      </c>
      <c r="L6" s="133" t="s">
        <v>175</v>
      </c>
      <c r="M6" s="133" t="s">
        <v>176</v>
      </c>
      <c r="N6" s="133" t="s">
        <v>177</v>
      </c>
      <c r="O6" s="133" t="s">
        <v>178</v>
      </c>
      <c r="P6" s="133" t="s">
        <v>179</v>
      </c>
      <c r="Q6" s="133" t="s">
        <v>180</v>
      </c>
      <c r="R6" s="43" t="s">
        <v>28</v>
      </c>
    </row>
    <row r="7" spans="3:18" ht="18" x14ac:dyDescent="0.45">
      <c r="C7" s="79">
        <v>1</v>
      </c>
      <c r="D7" s="37" t="s">
        <v>29</v>
      </c>
      <c r="E7" s="40" t="s">
        <v>30</v>
      </c>
      <c r="F7" s="72">
        <f>'Annual income ( Elevator)'!F7+'Annual income (maintenenace)'!F7</f>
        <v>500</v>
      </c>
      <c r="G7" s="72">
        <f>'Annual income ( Elevator)'!G7+'Annual income (maintenenace)'!G7</f>
        <v>0</v>
      </c>
      <c r="H7" s="72">
        <f>'Annual income ( Elevator)'!H7+'Annual income (maintenenace)'!H7</f>
        <v>500</v>
      </c>
      <c r="I7" s="72">
        <f>'Annual income ( Elevator)'!I7+'Annual income (maintenenace)'!I7</f>
        <v>500</v>
      </c>
      <c r="J7" s="72">
        <f>'Annual income ( Elevator)'!J7+'Annual income (maintenenace)'!J7</f>
        <v>500</v>
      </c>
      <c r="K7" s="72">
        <f>'Annual income ( Elevator)'!K7+'Annual income (maintenenace)'!K7</f>
        <v>500</v>
      </c>
      <c r="L7" s="37">
        <f>'Annual income ( Elevator)'!L7+'Annual income (maintenenace)'!L7</f>
        <v>0</v>
      </c>
      <c r="M7" s="37">
        <f>'Annual income (maintenenace)'!M7+'Annual income ( Elevator)'!M7</f>
        <v>0</v>
      </c>
      <c r="N7" s="37">
        <f>'Annual income ( Elevator)'!N7+'Annual income (maintenenace)'!N7</f>
        <v>0</v>
      </c>
      <c r="O7" s="37">
        <f>'Annual income ( Elevator)'!O7+'Annual income (maintenenace)'!O7</f>
        <v>0</v>
      </c>
      <c r="P7" s="37">
        <f>'Annual income ( Elevator)'!P7+'Annual income (maintenenace)'!P7</f>
        <v>0</v>
      </c>
      <c r="Q7" s="37">
        <f>'Annual income ( Elevator)'!Q7+'Annual income (maintenenace)'!Q7</f>
        <v>0</v>
      </c>
      <c r="R7" s="37">
        <f>SUM(F7:Q7)</f>
        <v>2500</v>
      </c>
    </row>
    <row r="8" spans="3:18" ht="18" x14ac:dyDescent="0.45">
      <c r="C8" s="79">
        <v>2</v>
      </c>
      <c r="D8" s="37" t="s">
        <v>194</v>
      </c>
      <c r="E8" s="40" t="s">
        <v>31</v>
      </c>
      <c r="F8" s="72">
        <f>'Annual income ( Elevator)'!F8+'Annual income (maintenenace)'!F8</f>
        <v>500</v>
      </c>
      <c r="G8" s="72">
        <f>'Annual income ( Elevator)'!G8+'Annual income (maintenenace)'!G8</f>
        <v>500</v>
      </c>
      <c r="H8" s="72">
        <f>'Annual income ( Elevator)'!H8+'Annual income (maintenenace)'!H8</f>
        <v>500</v>
      </c>
      <c r="I8" s="72">
        <f>'Annual income ( Elevator)'!I8+'Annual income (maintenenace)'!I8</f>
        <v>500</v>
      </c>
      <c r="J8" s="72">
        <f>'Annual income ( Elevator)'!J8+'Annual income (maintenenace)'!J8</f>
        <v>500</v>
      </c>
      <c r="K8" s="72">
        <f>'Annual income ( Elevator)'!K8+'Annual income (maintenenace)'!K8</f>
        <v>500</v>
      </c>
      <c r="L8" s="37">
        <f>'Annual income ( Elevator)'!L8+'Annual income (maintenenace)'!L8</f>
        <v>0</v>
      </c>
      <c r="M8" s="37">
        <f>'Annual income (maintenenace)'!M8+'Annual income ( Elevator)'!M8</f>
        <v>0</v>
      </c>
      <c r="N8" s="37">
        <f>'Annual income ( Elevator)'!N8+'Annual income (maintenenace)'!N8</f>
        <v>0</v>
      </c>
      <c r="O8" s="37">
        <f>'Annual income ( Elevator)'!O8+'Annual income (maintenenace)'!O8</f>
        <v>0</v>
      </c>
      <c r="P8" s="37">
        <f>'Annual income ( Elevator)'!P8+'Annual income (maintenenace)'!P8</f>
        <v>0</v>
      </c>
      <c r="Q8" s="37">
        <f>'Annual income ( Elevator)'!Q8+'Annual income (maintenenace)'!Q8</f>
        <v>0</v>
      </c>
      <c r="R8" s="37">
        <f t="shared" ref="R8:R32" si="0">SUM(F8:Q8)</f>
        <v>3000</v>
      </c>
    </row>
    <row r="9" spans="3:18" ht="18" x14ac:dyDescent="0.45">
      <c r="C9" s="79">
        <v>3</v>
      </c>
      <c r="D9" s="37" t="s">
        <v>32</v>
      </c>
      <c r="E9" s="40" t="s">
        <v>33</v>
      </c>
      <c r="F9" s="37">
        <f>'Annual income ( Elevator)'!F9+'Annual income (maintenenace)'!F9</f>
        <v>0</v>
      </c>
      <c r="G9" s="37">
        <f>'Annual income ( Elevator)'!G9+'Annual income (maintenenace)'!G9</f>
        <v>0</v>
      </c>
      <c r="H9" s="37">
        <f>'Annual income ( Elevator)'!H9+'Annual income (maintenenace)'!H9</f>
        <v>0</v>
      </c>
      <c r="I9" s="37">
        <f>'Annual income ( Elevator)'!I9+'Annual income (maintenenace)'!I9</f>
        <v>0</v>
      </c>
      <c r="J9" s="37">
        <f>'Annual income ( Elevator)'!J9+'Annual income (maintenenace)'!J9</f>
        <v>0</v>
      </c>
      <c r="K9" s="72">
        <f>'Annual income ( Elevator)'!K9+'Annual income (maintenenace)'!K9</f>
        <v>0</v>
      </c>
      <c r="L9" s="37">
        <f>'Annual income ( Elevator)'!L9+'Annual income (maintenenace)'!L9</f>
        <v>0</v>
      </c>
      <c r="M9" s="37">
        <f>'Annual income (maintenenace)'!M9+'Annual income ( Elevator)'!M9</f>
        <v>0</v>
      </c>
      <c r="N9" s="37">
        <f>'Annual income ( Elevator)'!N9+'Annual income (maintenenace)'!N9</f>
        <v>0</v>
      </c>
      <c r="O9" s="37">
        <f>'Annual income ( Elevator)'!O9+'Annual income (maintenenace)'!O9</f>
        <v>0</v>
      </c>
      <c r="P9" s="37">
        <f>'Annual income ( Elevator)'!P9+'Annual income (maintenenace)'!P9</f>
        <v>0</v>
      </c>
      <c r="Q9" s="37">
        <f>'Annual income ( Elevator)'!Q9+'Annual income (maintenenace)'!Q9</f>
        <v>0</v>
      </c>
      <c r="R9" s="37">
        <f t="shared" si="0"/>
        <v>0</v>
      </c>
    </row>
    <row r="10" spans="3:18" ht="18" x14ac:dyDescent="0.45">
      <c r="C10" s="79">
        <v>4</v>
      </c>
      <c r="D10" s="37" t="s">
        <v>34</v>
      </c>
      <c r="E10" s="40" t="s">
        <v>35</v>
      </c>
      <c r="F10" s="37">
        <f>'Annual income ( Elevator)'!F10+'Annual income (maintenenace)'!F10</f>
        <v>500</v>
      </c>
      <c r="G10" s="37">
        <f>'Annual income ( Elevator)'!G10+'Annual income (maintenenace)'!G10</f>
        <v>500</v>
      </c>
      <c r="H10" s="37">
        <f>'Annual income ( Elevator)'!H10+'Annual income (maintenenace)'!H10</f>
        <v>500</v>
      </c>
      <c r="I10" s="37">
        <f>'Annual income ( Elevator)'!I10+'Annual income (maintenenace)'!I10</f>
        <v>500</v>
      </c>
      <c r="J10" s="37">
        <f>'Annual income ( Elevator)'!J10+'Annual income (maintenenace)'!J10</f>
        <v>500</v>
      </c>
      <c r="K10" s="72">
        <f>'Annual income ( Elevator)'!K10+'Annual income (maintenenace)'!K10</f>
        <v>500</v>
      </c>
      <c r="L10" s="37">
        <f>'Annual income ( Elevator)'!L10+'Annual income (maintenenace)'!L10</f>
        <v>0</v>
      </c>
      <c r="M10" s="37">
        <f>'Annual income (maintenenace)'!M10+'Annual income ( Elevator)'!M10</f>
        <v>0</v>
      </c>
      <c r="N10" s="37">
        <f>'Annual income ( Elevator)'!N10+'Annual income (maintenenace)'!N10</f>
        <v>0</v>
      </c>
      <c r="O10" s="37">
        <f>'Annual income ( Elevator)'!O10+'Annual income (maintenenace)'!O10</f>
        <v>0</v>
      </c>
      <c r="P10" s="37">
        <f>'Annual income ( Elevator)'!P10+'Annual income (maintenenace)'!P10</f>
        <v>0</v>
      </c>
      <c r="Q10" s="37">
        <f>'Annual income ( Elevator)'!Q10+'Annual income (maintenenace)'!Q10</f>
        <v>0</v>
      </c>
      <c r="R10" s="37">
        <f t="shared" si="0"/>
        <v>3000</v>
      </c>
    </row>
    <row r="11" spans="3:18" ht="18" x14ac:dyDescent="0.45">
      <c r="C11" s="79">
        <v>5</v>
      </c>
      <c r="D11" s="37" t="s">
        <v>36</v>
      </c>
      <c r="E11" s="40" t="s">
        <v>37</v>
      </c>
      <c r="F11" s="37">
        <f>'Annual income ( Elevator)'!F11+'Annual income (maintenenace)'!F11</f>
        <v>600</v>
      </c>
      <c r="G11" s="37">
        <f>'Annual income ( Elevator)'!G11+'Annual income (maintenenace)'!G11</f>
        <v>600</v>
      </c>
      <c r="H11" s="37">
        <f>'Annual income ( Elevator)'!H11+'Annual income (maintenenace)'!H11</f>
        <v>1200</v>
      </c>
      <c r="I11" s="37">
        <f>'Annual income ( Elevator)'!I11+'Annual income (maintenenace)'!I11</f>
        <v>600</v>
      </c>
      <c r="J11" s="37">
        <f>'Annual income ( Elevator)'!J11+'Annual income (maintenenace)'!J11</f>
        <v>600</v>
      </c>
      <c r="K11" s="72">
        <f>'Annual income ( Elevator)'!K11+'Annual income (maintenenace)'!K11</f>
        <v>600</v>
      </c>
      <c r="L11" s="37">
        <f>'Annual income ( Elevator)'!L11+'Annual income (maintenenace)'!L11</f>
        <v>0</v>
      </c>
      <c r="M11" s="37">
        <f>'Annual income (maintenenace)'!M11+'Annual income ( Elevator)'!M11</f>
        <v>0</v>
      </c>
      <c r="N11" s="37">
        <f>'Annual income ( Elevator)'!N11+'Annual income (maintenenace)'!N11</f>
        <v>0</v>
      </c>
      <c r="O11" s="37">
        <f>'Annual income ( Elevator)'!O11+'Annual income (maintenenace)'!O11</f>
        <v>0</v>
      </c>
      <c r="P11" s="37">
        <f>'Annual income ( Elevator)'!P11+'Annual income (maintenenace)'!P11</f>
        <v>0</v>
      </c>
      <c r="Q11" s="37">
        <f>'Annual income ( Elevator)'!Q11+'Annual income (maintenenace)'!Q11</f>
        <v>0</v>
      </c>
      <c r="R11" s="37">
        <f t="shared" si="0"/>
        <v>4200</v>
      </c>
    </row>
    <row r="12" spans="3:18" ht="18" x14ac:dyDescent="0.45">
      <c r="C12" s="79">
        <v>6</v>
      </c>
      <c r="D12" s="37" t="s">
        <v>38</v>
      </c>
      <c r="E12" s="40" t="s">
        <v>39</v>
      </c>
      <c r="F12" s="37">
        <f>'Annual income ( Elevator)'!F12+'Annual income (maintenenace)'!F12</f>
        <v>600</v>
      </c>
      <c r="G12" s="37">
        <f>'Annual income ( Elevator)'!G12+'Annual income (maintenenace)'!G12</f>
        <v>600</v>
      </c>
      <c r="H12" s="37">
        <f>'Annual income ( Elevator)'!H12+'Annual income (maintenenace)'!H12</f>
        <v>600</v>
      </c>
      <c r="I12" s="37">
        <f>'Annual income ( Elevator)'!I12+'Annual income (maintenenace)'!I12</f>
        <v>600</v>
      </c>
      <c r="J12" s="37">
        <f>'Annual income ( Elevator)'!J12+'Annual income (maintenenace)'!J12</f>
        <v>600</v>
      </c>
      <c r="K12" s="72">
        <f>'Annual income ( Elevator)'!K12+'Annual income (maintenenace)'!K12</f>
        <v>600</v>
      </c>
      <c r="L12" s="37">
        <f>'Annual income ( Elevator)'!L12+'Annual income (maintenenace)'!L12</f>
        <v>0</v>
      </c>
      <c r="M12" s="37">
        <f>'Annual income (maintenenace)'!M12+'Annual income ( Elevator)'!M12</f>
        <v>0</v>
      </c>
      <c r="N12" s="37">
        <f>'Annual income ( Elevator)'!N12+'Annual income (maintenenace)'!N12</f>
        <v>0</v>
      </c>
      <c r="O12" s="37">
        <f>'Annual income ( Elevator)'!O12+'Annual income (maintenenace)'!O12</f>
        <v>0</v>
      </c>
      <c r="P12" s="37">
        <f>'Annual income ( Elevator)'!P12+'Annual income (maintenenace)'!P12</f>
        <v>0</v>
      </c>
      <c r="Q12" s="37">
        <f>'Annual income ( Elevator)'!Q12+'Annual income (maintenenace)'!Q12</f>
        <v>0</v>
      </c>
      <c r="R12" s="37">
        <f t="shared" si="0"/>
        <v>3600</v>
      </c>
    </row>
    <row r="13" spans="3:18" ht="18" x14ac:dyDescent="0.45">
      <c r="C13" s="79">
        <v>7</v>
      </c>
      <c r="D13" s="37" t="s">
        <v>40</v>
      </c>
      <c r="E13" s="40" t="s">
        <v>41</v>
      </c>
      <c r="F13" s="37">
        <f>'Annual income ( Elevator)'!F13+'Annual income (maintenenace)'!F13</f>
        <v>0</v>
      </c>
      <c r="G13" s="37">
        <f>'Annual income ( Elevator)'!G13+'Annual income (maintenenace)'!G13</f>
        <v>0</v>
      </c>
      <c r="H13" s="37">
        <f>'Annual income ( Elevator)'!H13+'Annual income (maintenenace)'!H13</f>
        <v>0</v>
      </c>
      <c r="I13" s="37">
        <f>'Annual income ( Elevator)'!I13+'Annual income (maintenenace)'!I13</f>
        <v>0</v>
      </c>
      <c r="J13" s="37">
        <f>'Annual income ( Elevator)'!J13+'Annual income (maintenenace)'!J13</f>
        <v>4200</v>
      </c>
      <c r="K13" s="72">
        <f>'Annual income ( Elevator)'!K13+'Annual income (maintenenace)'!K13</f>
        <v>0</v>
      </c>
      <c r="L13" s="37">
        <f>'Annual income ( Elevator)'!L13+'Annual income (maintenenace)'!L13</f>
        <v>0</v>
      </c>
      <c r="M13" s="37">
        <f>'Annual income (maintenenace)'!M13+'Annual income ( Elevator)'!M13</f>
        <v>0</v>
      </c>
      <c r="N13" s="37">
        <f>'Annual income ( Elevator)'!N13+'Annual income (maintenenace)'!N13</f>
        <v>0</v>
      </c>
      <c r="O13" s="37">
        <f>'Annual income ( Elevator)'!O13+'Annual income (maintenenace)'!O13</f>
        <v>0</v>
      </c>
      <c r="P13" s="37">
        <f>'Annual income ( Elevator)'!P13+'Annual income (maintenenace)'!P13</f>
        <v>0</v>
      </c>
      <c r="Q13" s="37">
        <f>'Annual income ( Elevator)'!Q13+'Annual income (maintenenace)'!Q13</f>
        <v>0</v>
      </c>
      <c r="R13" s="37">
        <f t="shared" si="0"/>
        <v>4200</v>
      </c>
    </row>
    <row r="14" spans="3:18" ht="18" x14ac:dyDescent="0.45">
      <c r="C14" s="79">
        <v>8</v>
      </c>
      <c r="D14" s="37" t="s">
        <v>42</v>
      </c>
      <c r="E14" s="41" t="s">
        <v>43</v>
      </c>
      <c r="F14" s="37">
        <f>'Annual income ( Elevator)'!F14+'Annual income (maintenenace)'!F14</f>
        <v>300</v>
      </c>
      <c r="G14" s="37">
        <f>'Annual income ( Elevator)'!G14+'Annual income (maintenenace)'!G14</f>
        <v>0</v>
      </c>
      <c r="H14" s="37">
        <f>'Annual income ( Elevator)'!H14+'Annual income (maintenenace)'!H14</f>
        <v>600</v>
      </c>
      <c r="I14" s="37">
        <f>'Annual income ( Elevator)'!I14+'Annual income (maintenenace)'!I14</f>
        <v>300</v>
      </c>
      <c r="J14" s="37">
        <f>'Annual income ( Elevator)'!J14+'Annual income (maintenenace)'!J14</f>
        <v>300</v>
      </c>
      <c r="K14" s="72">
        <f>'Annual income ( Elevator)'!K14+'Annual income (maintenenace)'!K14</f>
        <v>0</v>
      </c>
      <c r="L14" s="37">
        <f>'Annual income ( Elevator)'!L14+'Annual income (maintenenace)'!L14</f>
        <v>0</v>
      </c>
      <c r="M14" s="37">
        <f>'Annual income (maintenenace)'!M14+'Annual income ( Elevator)'!M14</f>
        <v>0</v>
      </c>
      <c r="N14" s="37">
        <f>'Annual income ( Elevator)'!N14+'Annual income (maintenenace)'!N14</f>
        <v>0</v>
      </c>
      <c r="O14" s="37">
        <f>'Annual income ( Elevator)'!O14+'Annual income (maintenenace)'!O14</f>
        <v>0</v>
      </c>
      <c r="P14" s="37">
        <f>'Annual income ( Elevator)'!P14+'Annual income (maintenenace)'!P14</f>
        <v>0</v>
      </c>
      <c r="Q14" s="37">
        <f>'Annual income ( Elevator)'!Q14+'Annual income (maintenenace)'!Q14</f>
        <v>0</v>
      </c>
      <c r="R14" s="37">
        <f t="shared" si="0"/>
        <v>1500</v>
      </c>
    </row>
    <row r="15" spans="3:18" ht="18" x14ac:dyDescent="0.45">
      <c r="C15" s="79">
        <v>9</v>
      </c>
      <c r="D15" s="37" t="s">
        <v>44</v>
      </c>
      <c r="E15" s="41" t="s">
        <v>45</v>
      </c>
      <c r="F15" s="72">
        <f>'Annual income ( Elevator)'!F15+'Annual income (maintenenace)'!F15</f>
        <v>500</v>
      </c>
      <c r="G15" s="72">
        <f>'Annual income ( Elevator)'!G15+'Annual income (maintenenace)'!G15</f>
        <v>500</v>
      </c>
      <c r="H15" s="72">
        <f>'Annual income ( Elevator)'!H15+'Annual income (maintenenace)'!H15</f>
        <v>500</v>
      </c>
      <c r="I15" s="72">
        <f>'Annual income ( Elevator)'!I15+'Annual income (maintenenace)'!I15</f>
        <v>500</v>
      </c>
      <c r="J15" s="72">
        <f>'Annual income ( Elevator)'!J15+'Annual income (maintenenace)'!J15</f>
        <v>500</v>
      </c>
      <c r="K15" s="72">
        <f>'Annual income ( Elevator)'!K15+'Annual income (maintenenace)'!K15</f>
        <v>0</v>
      </c>
      <c r="L15" s="37">
        <f>'Annual income ( Elevator)'!L15+'Annual income (maintenenace)'!L15</f>
        <v>0</v>
      </c>
      <c r="M15" s="37">
        <f>'Annual income (maintenenace)'!M15+'Annual income ( Elevator)'!M15</f>
        <v>0</v>
      </c>
      <c r="N15" s="37">
        <f>'Annual income ( Elevator)'!N15+'Annual income (maintenenace)'!N15</f>
        <v>0</v>
      </c>
      <c r="O15" s="37">
        <f>'Annual income ( Elevator)'!O15+'Annual income (maintenenace)'!O15</f>
        <v>0</v>
      </c>
      <c r="P15" s="37">
        <f>'Annual income ( Elevator)'!P15+'Annual income (maintenenace)'!P15</f>
        <v>0</v>
      </c>
      <c r="Q15" s="37">
        <f>'Annual income ( Elevator)'!Q15+'Annual income (maintenenace)'!Q15</f>
        <v>0</v>
      </c>
      <c r="R15" s="37">
        <f t="shared" si="0"/>
        <v>2500</v>
      </c>
    </row>
    <row r="16" spans="3:18" ht="18" x14ac:dyDescent="0.45">
      <c r="C16" s="79">
        <v>10</v>
      </c>
      <c r="D16" s="37" t="s">
        <v>46</v>
      </c>
      <c r="E16" s="41" t="s">
        <v>47</v>
      </c>
      <c r="F16" s="37">
        <f>'Annual income ( Elevator)'!F16+'Annual income (maintenenace)'!F16</f>
        <v>0</v>
      </c>
      <c r="G16" s="37">
        <f>'Annual income ( Elevator)'!G16+'Annual income (maintenenace)'!G16</f>
        <v>0</v>
      </c>
      <c r="H16" s="37">
        <f>'Annual income ( Elevator)'!H16+'Annual income (maintenenace)'!H16</f>
        <v>1200</v>
      </c>
      <c r="I16" s="37">
        <f>'Annual income ( Elevator)'!I16+'Annual income (maintenenace)'!I16</f>
        <v>1200</v>
      </c>
      <c r="J16" s="37">
        <f>'Annual income ( Elevator)'!J16+'Annual income (maintenenace)'!J16</f>
        <v>0</v>
      </c>
      <c r="K16" s="72">
        <f>'Annual income ( Elevator)'!K16+'Annual income (maintenenace)'!K16</f>
        <v>0</v>
      </c>
      <c r="L16" s="37">
        <f>'Annual income ( Elevator)'!L16+'Annual income (maintenenace)'!L16</f>
        <v>0</v>
      </c>
      <c r="M16" s="37">
        <f>'Annual income (maintenenace)'!M16+'Annual income ( Elevator)'!M16</f>
        <v>0</v>
      </c>
      <c r="N16" s="37">
        <f>'Annual income ( Elevator)'!N16+'Annual income (maintenenace)'!N16</f>
        <v>0</v>
      </c>
      <c r="O16" s="37">
        <f>'Annual income ( Elevator)'!O16+'Annual income (maintenenace)'!O16</f>
        <v>0</v>
      </c>
      <c r="P16" s="37">
        <f>'Annual income ( Elevator)'!P16+'Annual income (maintenenace)'!P16</f>
        <v>0</v>
      </c>
      <c r="Q16" s="37">
        <f>'Annual income ( Elevator)'!Q16+'Annual income (maintenenace)'!Q16</f>
        <v>0</v>
      </c>
      <c r="R16" s="37">
        <f t="shared" si="0"/>
        <v>2400</v>
      </c>
    </row>
    <row r="17" spans="3:18" ht="18" x14ac:dyDescent="0.45">
      <c r="C17" s="79">
        <v>11</v>
      </c>
      <c r="D17" s="37" t="s">
        <v>48</v>
      </c>
      <c r="E17" s="41" t="s">
        <v>49</v>
      </c>
      <c r="F17" s="72">
        <f>'Annual income ( Elevator)'!F17+'Annual income (maintenenace)'!F17</f>
        <v>0</v>
      </c>
      <c r="G17" s="72">
        <f>'Annual income ( Elevator)'!G17+'Annual income (maintenenace)'!G17</f>
        <v>0</v>
      </c>
      <c r="H17" s="72">
        <f>'Annual income ( Elevator)'!H17+'Annual income (maintenenace)'!H17</f>
        <v>2400</v>
      </c>
      <c r="I17" s="72">
        <f>'Annual income ( Elevator)'!I17+'Annual income (maintenenace)'!I17</f>
        <v>0</v>
      </c>
      <c r="J17" s="72">
        <f>'Annual income ( Elevator)'!J17+'Annual income (maintenenace)'!J17</f>
        <v>0</v>
      </c>
      <c r="K17" s="72">
        <f>'Annual income ( Elevator)'!K17+'Annual income (maintenenace)'!K17</f>
        <v>1200</v>
      </c>
      <c r="L17" s="37">
        <f>'Annual income ( Elevator)'!L17+'Annual income (maintenenace)'!L17</f>
        <v>0</v>
      </c>
      <c r="M17" s="37">
        <f>'Annual income (maintenenace)'!M17+'Annual income ( Elevator)'!M17</f>
        <v>0</v>
      </c>
      <c r="N17" s="37">
        <f>'Annual income ( Elevator)'!N17+'Annual income (maintenenace)'!N17</f>
        <v>0</v>
      </c>
      <c r="O17" s="37">
        <f>'Annual income ( Elevator)'!O17+'Annual income (maintenenace)'!O17</f>
        <v>0</v>
      </c>
      <c r="P17" s="37">
        <f>'Annual income ( Elevator)'!P17+'Annual income (maintenenace)'!P17</f>
        <v>0</v>
      </c>
      <c r="Q17" s="37">
        <f>'Annual income ( Elevator)'!Q17+'Annual income (maintenenace)'!Q17</f>
        <v>0</v>
      </c>
      <c r="R17" s="37">
        <f t="shared" si="0"/>
        <v>3600</v>
      </c>
    </row>
    <row r="18" spans="3:18" ht="18" x14ac:dyDescent="0.45">
      <c r="C18" s="79">
        <v>12</v>
      </c>
      <c r="D18" s="37" t="s">
        <v>50</v>
      </c>
      <c r="E18" s="41" t="s">
        <v>51</v>
      </c>
      <c r="F18" s="72">
        <f>'Annual income ( Elevator)'!F18+'Annual income (maintenenace)'!F18</f>
        <v>600</v>
      </c>
      <c r="G18" s="72">
        <f>'Annual income ( Elevator)'!G18+'Annual income (maintenenace)'!G18</f>
        <v>600</v>
      </c>
      <c r="H18" s="72">
        <f>'Annual income ( Elevator)'!H18+'Annual income (maintenenace)'!H18</f>
        <v>600</v>
      </c>
      <c r="I18" s="72">
        <f>'Annual income ( Elevator)'!I18+'Annual income (maintenenace)'!I18</f>
        <v>600</v>
      </c>
      <c r="J18" s="72">
        <f>'Annual income ( Elevator)'!J18+'Annual income (maintenenace)'!J18</f>
        <v>600</v>
      </c>
      <c r="K18" s="72">
        <f>'Annual income ( Elevator)'!K18+'Annual income (maintenenace)'!K18</f>
        <v>600</v>
      </c>
      <c r="L18" s="37">
        <f>'Annual income ( Elevator)'!L18+'Annual income (maintenenace)'!L18</f>
        <v>0</v>
      </c>
      <c r="M18" s="37">
        <f>'Annual income (maintenenace)'!M18+'Annual income ( Elevator)'!M18</f>
        <v>0</v>
      </c>
      <c r="N18" s="37">
        <f>'Annual income ( Elevator)'!N18+'Annual income (maintenenace)'!N18</f>
        <v>0</v>
      </c>
      <c r="O18" s="37">
        <f>'Annual income ( Elevator)'!O18+'Annual income (maintenenace)'!O18</f>
        <v>0</v>
      </c>
      <c r="P18" s="37">
        <f>'Annual income ( Elevator)'!P18+'Annual income (maintenenace)'!P18</f>
        <v>0</v>
      </c>
      <c r="Q18" s="37">
        <f>'Annual income ( Elevator)'!Q18+'Annual income (maintenenace)'!Q18</f>
        <v>0</v>
      </c>
      <c r="R18" s="37">
        <f t="shared" si="0"/>
        <v>3600</v>
      </c>
    </row>
    <row r="19" spans="3:18" ht="18" x14ac:dyDescent="0.45">
      <c r="C19" s="79">
        <v>13</v>
      </c>
      <c r="D19" s="37" t="s">
        <v>52</v>
      </c>
      <c r="E19" s="41" t="s">
        <v>53</v>
      </c>
      <c r="F19" s="72">
        <f>'Annual income ( Elevator)'!F19+'Annual income (maintenenace)'!F19</f>
        <v>4000</v>
      </c>
      <c r="G19" s="72">
        <f>'Annual income ( Elevator)'!G19+'Annual income (maintenenace)'!G19</f>
        <v>0</v>
      </c>
      <c r="H19" s="72">
        <f>'Annual income ( Elevator)'!H19+'Annual income (maintenenace)'!H19</f>
        <v>0</v>
      </c>
      <c r="I19" s="72">
        <f>'Annual income ( Elevator)'!I19+'Annual income (maintenenace)'!I19</f>
        <v>0</v>
      </c>
      <c r="J19" s="72">
        <f>'Annual income ( Elevator)'!J19+'Annual income (maintenenace)'!J19</f>
        <v>0</v>
      </c>
      <c r="K19" s="72">
        <f>'Annual income ( Elevator)'!K19+'Annual income (maintenenace)'!K19</f>
        <v>0</v>
      </c>
      <c r="L19" s="37">
        <f>'Annual income ( Elevator)'!L19+'Annual income (maintenenace)'!L19</f>
        <v>0</v>
      </c>
      <c r="M19" s="37">
        <f>'Annual income (maintenenace)'!M19+'Annual income ( Elevator)'!M19</f>
        <v>0</v>
      </c>
      <c r="N19" s="37">
        <f>'Annual income ( Elevator)'!N19+'Annual income (maintenenace)'!N19</f>
        <v>0</v>
      </c>
      <c r="O19" s="37">
        <f>'Annual income ( Elevator)'!O19+'Annual income (maintenenace)'!O19</f>
        <v>0</v>
      </c>
      <c r="P19" s="37">
        <f>'Annual income ( Elevator)'!P19+'Annual income (maintenenace)'!P19</f>
        <v>0</v>
      </c>
      <c r="Q19" s="37">
        <f>'Annual income ( Elevator)'!Q19+'Annual income (maintenenace)'!Q19</f>
        <v>0</v>
      </c>
      <c r="R19" s="37">
        <f t="shared" si="0"/>
        <v>4000</v>
      </c>
    </row>
    <row r="20" spans="3:18" ht="18" x14ac:dyDescent="0.45">
      <c r="C20" s="79">
        <v>14</v>
      </c>
      <c r="D20" s="37" t="s">
        <v>169</v>
      </c>
      <c r="E20" s="41" t="s">
        <v>55</v>
      </c>
      <c r="F20" s="72">
        <f>'Annual income ( Elevator)'!F20+'Annual income (maintenenace)'!F20</f>
        <v>400</v>
      </c>
      <c r="G20" s="72">
        <f>'Annual income ( Elevator)'!G20+'Annual income (maintenenace)'!G20</f>
        <v>0</v>
      </c>
      <c r="H20" s="72">
        <f>'Annual income ( Elevator)'!H20+'Annual income (maintenenace)'!H20</f>
        <v>1200</v>
      </c>
      <c r="I20" s="72">
        <f>'Annual income ( Elevator)'!I20+'Annual income (maintenenace)'!I20</f>
        <v>600</v>
      </c>
      <c r="J20" s="72">
        <f>'Annual income ( Elevator)'!J20+'Annual income (maintenenace)'!J20</f>
        <v>600</v>
      </c>
      <c r="K20" s="72">
        <f>'Annual income ( Elevator)'!K20+'Annual income (maintenenace)'!K20</f>
        <v>0</v>
      </c>
      <c r="L20" s="37">
        <f>'Annual income ( Elevator)'!L20+'Annual income (maintenenace)'!L20</f>
        <v>0</v>
      </c>
      <c r="M20" s="37">
        <f>'Annual income (maintenenace)'!M20+'Annual income ( Elevator)'!M20</f>
        <v>0</v>
      </c>
      <c r="N20" s="37">
        <f>'Annual income ( Elevator)'!N20+'Annual income (maintenenace)'!N20</f>
        <v>0</v>
      </c>
      <c r="O20" s="37">
        <f>'Annual income ( Elevator)'!O20+'Annual income (maintenenace)'!O20</f>
        <v>0</v>
      </c>
      <c r="P20" s="37">
        <f>'Annual income ( Elevator)'!P20+'Annual income (maintenenace)'!P20</f>
        <v>0</v>
      </c>
      <c r="Q20" s="37">
        <f>'Annual income ( Elevator)'!Q20+'Annual income (maintenenace)'!Q20</f>
        <v>0</v>
      </c>
      <c r="R20" s="37">
        <f t="shared" si="0"/>
        <v>2800</v>
      </c>
    </row>
    <row r="21" spans="3:18" ht="18" x14ac:dyDescent="0.45">
      <c r="C21" s="79">
        <v>15</v>
      </c>
      <c r="D21" s="37" t="s">
        <v>56</v>
      </c>
      <c r="E21" s="41" t="s">
        <v>57</v>
      </c>
      <c r="F21" s="72">
        <f>'Annual income ( Elevator)'!F21+'Annual income (maintenenace)'!F21</f>
        <v>0</v>
      </c>
      <c r="G21" s="72">
        <f>'Annual income ( Elevator)'!G21+'Annual income (maintenenace)'!G21</f>
        <v>0</v>
      </c>
      <c r="H21" s="72">
        <f>'Annual income ( Elevator)'!H21+'Annual income (maintenenace)'!H21</f>
        <v>1500</v>
      </c>
      <c r="I21" s="72">
        <f>'Annual income ( Elevator)'!I21+'Annual income (maintenenace)'!I21</f>
        <v>600</v>
      </c>
      <c r="J21" s="72">
        <f>'Annual income ( Elevator)'!J21+'Annual income (maintenenace)'!J21</f>
        <v>600</v>
      </c>
      <c r="K21" s="72">
        <f>'Annual income ( Elevator)'!K21+'Annual income (maintenenace)'!K21</f>
        <v>0</v>
      </c>
      <c r="L21" s="37">
        <f>'Annual income ( Elevator)'!L21+'Annual income (maintenenace)'!L21</f>
        <v>0</v>
      </c>
      <c r="M21" s="37">
        <f>'Annual income (maintenenace)'!M21+'Annual income ( Elevator)'!M21</f>
        <v>0</v>
      </c>
      <c r="N21" s="37">
        <f>'Annual income ( Elevator)'!N21+'Annual income (maintenenace)'!N21</f>
        <v>0</v>
      </c>
      <c r="O21" s="37">
        <f>'Annual income ( Elevator)'!O21+'Annual income (maintenenace)'!O21</f>
        <v>0</v>
      </c>
      <c r="P21" s="37">
        <f>'Annual income ( Elevator)'!P21+'Annual income (maintenenace)'!P21</f>
        <v>0</v>
      </c>
      <c r="Q21" s="37">
        <f>'Annual income ( Elevator)'!Q21+'Annual income (maintenenace)'!Q21</f>
        <v>0</v>
      </c>
      <c r="R21" s="37">
        <f t="shared" si="0"/>
        <v>2700</v>
      </c>
    </row>
    <row r="22" spans="3:18" ht="18" x14ac:dyDescent="0.45">
      <c r="C22" s="79">
        <v>16</v>
      </c>
      <c r="D22" s="37" t="s">
        <v>58</v>
      </c>
      <c r="E22" s="41" t="s">
        <v>59</v>
      </c>
      <c r="F22" s="72">
        <f>'Annual income ( Elevator)'!F22+'Annual income (maintenenace)'!F22</f>
        <v>0</v>
      </c>
      <c r="G22" s="72">
        <f>'Annual income ( Elevator)'!G22+'Annual income (maintenenace)'!G22</f>
        <v>0</v>
      </c>
      <c r="H22" s="72">
        <f>'Annual income ( Elevator)'!H22+'Annual income (maintenenace)'!H22</f>
        <v>0</v>
      </c>
      <c r="I22" s="72">
        <f>'Annual income ( Elevator)'!I22+'Annual income (maintenenace)'!I22</f>
        <v>0</v>
      </c>
      <c r="J22" s="72">
        <f>'Annual income ( Elevator)'!J22+'Annual income (maintenenace)'!J22</f>
        <v>0</v>
      </c>
      <c r="K22" s="72">
        <f>'Annual income ( Elevator)'!K22+'Annual income (maintenenace)'!K22</f>
        <v>0</v>
      </c>
      <c r="L22" s="37">
        <f>'Annual income ( Elevator)'!L22+'Annual income (maintenenace)'!L22</f>
        <v>0</v>
      </c>
      <c r="M22" s="37">
        <f>'Annual income (maintenenace)'!M22+'Annual income ( Elevator)'!M22</f>
        <v>0</v>
      </c>
      <c r="N22" s="37">
        <f>'Annual income ( Elevator)'!N22+'Annual income (maintenenace)'!N22</f>
        <v>0</v>
      </c>
      <c r="O22" s="37">
        <f>'Annual income ( Elevator)'!O22+'Annual income (maintenenace)'!O22</f>
        <v>0</v>
      </c>
      <c r="P22" s="37">
        <f>'Annual income ( Elevator)'!P22+'Annual income (maintenenace)'!P22</f>
        <v>0</v>
      </c>
      <c r="Q22" s="37">
        <f>'Annual income ( Elevator)'!Q22+'Annual income (maintenenace)'!Q22</f>
        <v>0</v>
      </c>
      <c r="R22" s="37">
        <f t="shared" si="0"/>
        <v>0</v>
      </c>
    </row>
    <row r="23" spans="3:18" ht="18" x14ac:dyDescent="0.45">
      <c r="C23" s="79">
        <v>17</v>
      </c>
      <c r="D23" s="37" t="s">
        <v>60</v>
      </c>
      <c r="E23" s="41" t="s">
        <v>61</v>
      </c>
      <c r="F23" s="72">
        <f>'Annual income ( Elevator)'!F23+'Annual income (maintenenace)'!F23</f>
        <v>600</v>
      </c>
      <c r="G23" s="72">
        <f>'Annual income ( Elevator)'!G23+'Annual income (maintenenace)'!G23</f>
        <v>0</v>
      </c>
      <c r="H23" s="72">
        <f>'Annual income ( Elevator)'!H23+'Annual income (maintenenace)'!H23</f>
        <v>0</v>
      </c>
      <c r="I23" s="72">
        <f>'Annual income ( Elevator)'!I23+'Annual income (maintenenace)'!I23</f>
        <v>0</v>
      </c>
      <c r="J23" s="72">
        <f>'Annual income ( Elevator)'!J23+'Annual income (maintenenace)'!J23</f>
        <v>0</v>
      </c>
      <c r="K23" s="72">
        <f>'Annual income ( Elevator)'!K23+'Annual income (maintenenace)'!K23</f>
        <v>0</v>
      </c>
      <c r="L23" s="37">
        <f>'Annual income ( Elevator)'!L23+'Annual income (maintenenace)'!L23</f>
        <v>0</v>
      </c>
      <c r="M23" s="37">
        <f>'Annual income (maintenenace)'!M23+'Annual income ( Elevator)'!M23</f>
        <v>0</v>
      </c>
      <c r="N23" s="37">
        <f>'Annual income ( Elevator)'!N23+'Annual income (maintenenace)'!N23</f>
        <v>0</v>
      </c>
      <c r="O23" s="37">
        <f>'Annual income ( Elevator)'!O23+'Annual income (maintenenace)'!O23</f>
        <v>0</v>
      </c>
      <c r="P23" s="37">
        <f>'Annual income ( Elevator)'!P23+'Annual income (maintenenace)'!P23</f>
        <v>0</v>
      </c>
      <c r="Q23" s="37">
        <f>'Annual income ( Elevator)'!Q23+'Annual income (maintenenace)'!Q23</f>
        <v>0</v>
      </c>
      <c r="R23" s="37">
        <f t="shared" si="0"/>
        <v>600</v>
      </c>
    </row>
    <row r="24" spans="3:18" ht="18" x14ac:dyDescent="0.45">
      <c r="C24" s="79">
        <v>18</v>
      </c>
      <c r="D24" s="37" t="s">
        <v>181</v>
      </c>
      <c r="E24" s="41" t="s">
        <v>63</v>
      </c>
      <c r="F24" s="72">
        <f>'Annual income ( Elevator)'!F24+'Annual income (maintenenace)'!F24</f>
        <v>0</v>
      </c>
      <c r="G24" s="72">
        <f>'Annual income ( Elevator)'!G24+'Annual income (maintenenace)'!G24</f>
        <v>0</v>
      </c>
      <c r="H24" s="72">
        <f>'Annual income ( Elevator)'!H24+'Annual income (maintenenace)'!H24</f>
        <v>0</v>
      </c>
      <c r="I24" s="72">
        <f>'Annual income ( Elevator)'!I24+'Annual income (maintenenace)'!I24</f>
        <v>0</v>
      </c>
      <c r="J24" s="72">
        <f>'Annual income ( Elevator)'!J24+'Annual income (maintenenace)'!J24</f>
        <v>0</v>
      </c>
      <c r="K24" s="72">
        <f>'Annual income ( Elevator)'!K24+'Annual income (maintenenace)'!K24</f>
        <v>0</v>
      </c>
      <c r="L24" s="37">
        <f>'Annual income ( Elevator)'!L24+'Annual income (maintenenace)'!L24</f>
        <v>0</v>
      </c>
      <c r="M24" s="37">
        <f>'Annual income (maintenenace)'!M24+'Annual income ( Elevator)'!M24</f>
        <v>0</v>
      </c>
      <c r="N24" s="37">
        <f>'Annual income ( Elevator)'!N24+'Annual income (maintenenace)'!N24</f>
        <v>0</v>
      </c>
      <c r="O24" s="37">
        <f>'Annual income ( Elevator)'!O24+'Annual income (maintenenace)'!O24</f>
        <v>0</v>
      </c>
      <c r="P24" s="37">
        <f>'Annual income ( Elevator)'!P24+'Annual income (maintenenace)'!P24</f>
        <v>0</v>
      </c>
      <c r="Q24" s="37">
        <f>'Annual income ( Elevator)'!Q24+'Annual income (maintenenace)'!Q24</f>
        <v>0</v>
      </c>
      <c r="R24" s="37">
        <f t="shared" si="0"/>
        <v>0</v>
      </c>
    </row>
    <row r="25" spans="3:18" ht="18" x14ac:dyDescent="0.45">
      <c r="C25" s="79">
        <v>19</v>
      </c>
      <c r="D25" s="37" t="s">
        <v>64</v>
      </c>
      <c r="E25" s="41" t="s">
        <v>65</v>
      </c>
      <c r="F25" s="72">
        <f>'Annual income ( Elevator)'!F25+'Annual income (maintenenace)'!F25</f>
        <v>600</v>
      </c>
      <c r="G25" s="72">
        <f>'Annual income ( Elevator)'!G25+'Annual income (maintenenace)'!G25</f>
        <v>600</v>
      </c>
      <c r="H25" s="72">
        <f>'Annual income ( Elevator)'!H25+'Annual income (maintenenace)'!H25</f>
        <v>600</v>
      </c>
      <c r="I25" s="72">
        <f>'Annual income ( Elevator)'!I25+'Annual income (maintenenace)'!I25</f>
        <v>600</v>
      </c>
      <c r="J25" s="72">
        <f>'Annual income ( Elevator)'!J25+'Annual income (maintenenace)'!J25</f>
        <v>600</v>
      </c>
      <c r="K25" s="72">
        <f>'Annual income ( Elevator)'!K25+'Annual income (maintenenace)'!K25</f>
        <v>600</v>
      </c>
      <c r="L25" s="37">
        <f>'Annual income ( Elevator)'!L25+'Annual income (maintenenace)'!L25</f>
        <v>0</v>
      </c>
      <c r="M25" s="37">
        <f>'Annual income (maintenenace)'!M25+'Annual income ( Elevator)'!M25</f>
        <v>0</v>
      </c>
      <c r="N25" s="37">
        <f>'Annual income ( Elevator)'!N25+'Annual income (maintenenace)'!N25</f>
        <v>0</v>
      </c>
      <c r="O25" s="37">
        <f>'Annual income ( Elevator)'!O25+'Annual income (maintenenace)'!O25</f>
        <v>0</v>
      </c>
      <c r="P25" s="37">
        <f>'Annual income ( Elevator)'!P25+'Annual income (maintenenace)'!P25</f>
        <v>0</v>
      </c>
      <c r="Q25" s="37">
        <f>'Annual income ( Elevator)'!Q25+'Annual income (maintenenace)'!Q25</f>
        <v>0</v>
      </c>
      <c r="R25" s="37">
        <f t="shared" si="0"/>
        <v>3600</v>
      </c>
    </row>
    <row r="26" spans="3:18" ht="18" x14ac:dyDescent="0.45">
      <c r="C26" s="79">
        <v>20</v>
      </c>
      <c r="D26" s="37" t="s">
        <v>130</v>
      </c>
      <c r="E26" s="41" t="s">
        <v>67</v>
      </c>
      <c r="F26" s="72">
        <f>'Annual income ( Elevator)'!F26+'Annual income (maintenenace)'!F26</f>
        <v>600</v>
      </c>
      <c r="G26" s="72">
        <f>'Annual income ( Elevator)'!G26+'Annual income (maintenenace)'!G26</f>
        <v>600</v>
      </c>
      <c r="H26" s="72">
        <f>'Annual income ( Elevator)'!H26+'Annual income (maintenenace)'!H26</f>
        <v>1200</v>
      </c>
      <c r="I26" s="72">
        <f>'Annual income ( Elevator)'!I26+'Annual income (maintenenace)'!I26</f>
        <v>0</v>
      </c>
      <c r="J26" s="72">
        <f>'Annual income ( Elevator)'!J26+'Annual income (maintenenace)'!J26</f>
        <v>600</v>
      </c>
      <c r="K26" s="72">
        <f>'Annual income ( Elevator)'!K26+'Annual income (maintenenace)'!K26</f>
        <v>0</v>
      </c>
      <c r="L26" s="37">
        <f>'Annual income ( Elevator)'!L26+'Annual income (maintenenace)'!L26</f>
        <v>0</v>
      </c>
      <c r="M26" s="37">
        <f>'Annual income (maintenenace)'!M26+'Annual income ( Elevator)'!M26</f>
        <v>0</v>
      </c>
      <c r="N26" s="37">
        <f>'Annual income ( Elevator)'!N26+'Annual income (maintenenace)'!N26</f>
        <v>0</v>
      </c>
      <c r="O26" s="37">
        <f>'Annual income ( Elevator)'!O26+'Annual income (maintenenace)'!O26</f>
        <v>0</v>
      </c>
      <c r="P26" s="37">
        <f>'Annual income ( Elevator)'!P26+'Annual income (maintenenace)'!P26</f>
        <v>0</v>
      </c>
      <c r="Q26" s="37">
        <f>'Annual income ( Elevator)'!Q26+'Annual income (maintenenace)'!Q26</f>
        <v>0</v>
      </c>
      <c r="R26" s="37">
        <f t="shared" si="0"/>
        <v>3000</v>
      </c>
    </row>
    <row r="27" spans="3:18" ht="18" x14ac:dyDescent="0.45">
      <c r="C27" s="79">
        <v>21</v>
      </c>
      <c r="D27" s="37" t="s">
        <v>68</v>
      </c>
      <c r="E27" s="41" t="s">
        <v>69</v>
      </c>
      <c r="F27" s="72">
        <f>'Annual income ( Elevator)'!F27+'Annual income (maintenenace)'!F27</f>
        <v>600</v>
      </c>
      <c r="G27" s="72">
        <f>'Annual income ( Elevator)'!G27+'Annual income (maintenenace)'!G27</f>
        <v>1200</v>
      </c>
      <c r="H27" s="72">
        <f>'Annual income ( Elevator)'!H27+'Annual income (maintenenace)'!H27</f>
        <v>0</v>
      </c>
      <c r="I27" s="72">
        <f>'Annual income ( Elevator)'!I27+'Annual income (maintenenace)'!I27</f>
        <v>0</v>
      </c>
      <c r="J27" s="72">
        <f>'Annual income ( Elevator)'!J27+'Annual income (maintenenace)'!J27</f>
        <v>1200</v>
      </c>
      <c r="K27" s="72">
        <f>'Annual income ( Elevator)'!K27+'Annual income (maintenenace)'!K27</f>
        <v>0</v>
      </c>
      <c r="L27" s="37">
        <f>'Annual income ( Elevator)'!L27+'Annual income (maintenenace)'!L27</f>
        <v>0</v>
      </c>
      <c r="M27" s="37">
        <f>'Annual income (maintenenace)'!M27+'Annual income ( Elevator)'!M27</f>
        <v>0</v>
      </c>
      <c r="N27" s="37">
        <f>'Annual income ( Elevator)'!N27+'Annual income (maintenenace)'!N27</f>
        <v>0</v>
      </c>
      <c r="O27" s="37">
        <f>'Annual income ( Elevator)'!O27+'Annual income (maintenenace)'!O27</f>
        <v>0</v>
      </c>
      <c r="P27" s="37">
        <f>'Annual income ( Elevator)'!P27+'Annual income (maintenenace)'!P27</f>
        <v>0</v>
      </c>
      <c r="Q27" s="37">
        <f>'Annual income ( Elevator)'!Q27+'Annual income (maintenenace)'!Q27</f>
        <v>0</v>
      </c>
      <c r="R27" s="37">
        <f t="shared" si="0"/>
        <v>3000</v>
      </c>
    </row>
    <row r="28" spans="3:18" ht="18" x14ac:dyDescent="0.45">
      <c r="C28" s="79">
        <v>22</v>
      </c>
      <c r="D28" s="37" t="s">
        <v>70</v>
      </c>
      <c r="E28" s="41" t="s">
        <v>71</v>
      </c>
      <c r="F28" s="72">
        <f>'Annual income ( Elevator)'!F28+'Annual income (maintenenace)'!F28</f>
        <v>600</v>
      </c>
      <c r="G28" s="72">
        <f>'Annual income ( Elevator)'!G28+'Annual income (maintenenace)'!G28</f>
        <v>600</v>
      </c>
      <c r="H28" s="72">
        <f>'Annual income ( Elevator)'!H28+'Annual income (maintenenace)'!H28</f>
        <v>600</v>
      </c>
      <c r="I28" s="72">
        <f>'Annual income ( Elevator)'!I28+'Annual income (maintenenace)'!I28</f>
        <v>600</v>
      </c>
      <c r="J28" s="72">
        <f>'Annual income ( Elevator)'!J28+'Annual income (maintenenace)'!J28</f>
        <v>600</v>
      </c>
      <c r="K28" s="72">
        <f>'Annual income ( Elevator)'!K28+'Annual income (maintenenace)'!K28</f>
        <v>600</v>
      </c>
      <c r="L28" s="37">
        <f>'Annual income ( Elevator)'!L28+'Annual income (maintenenace)'!L28</f>
        <v>0</v>
      </c>
      <c r="M28" s="37">
        <f>'Annual income (maintenenace)'!M28+'Annual income ( Elevator)'!M28</f>
        <v>0</v>
      </c>
      <c r="N28" s="37">
        <f>'Annual income ( Elevator)'!N28+'Annual income (maintenenace)'!N28</f>
        <v>0</v>
      </c>
      <c r="O28" s="37">
        <f>'Annual income ( Elevator)'!O28+'Annual income (maintenenace)'!O28</f>
        <v>0</v>
      </c>
      <c r="P28" s="37">
        <f>'Annual income ( Elevator)'!P28+'Annual income (maintenenace)'!P28</f>
        <v>0</v>
      </c>
      <c r="Q28" s="37">
        <f>'Annual income ( Elevator)'!Q28+'Annual income (maintenenace)'!Q28</f>
        <v>0</v>
      </c>
      <c r="R28" s="37">
        <f t="shared" si="0"/>
        <v>3600</v>
      </c>
    </row>
    <row r="29" spans="3:18" ht="18" x14ac:dyDescent="0.45">
      <c r="C29" s="79">
        <v>23</v>
      </c>
      <c r="D29" s="37" t="s">
        <v>72</v>
      </c>
      <c r="E29" s="41" t="s">
        <v>73</v>
      </c>
      <c r="F29" s="72">
        <f>'Annual income ( Elevator)'!F29+'Annual income (maintenenace)'!F29</f>
        <v>5600</v>
      </c>
      <c r="G29" s="72">
        <f>'Annual income ( Elevator)'!G29+'Annual income (maintenenace)'!G29</f>
        <v>600</v>
      </c>
      <c r="H29" s="72">
        <f>'Annual income ( Elevator)'!H29+'Annual income (maintenenace)'!H29</f>
        <v>600</v>
      </c>
      <c r="I29" s="72">
        <f>'Annual income ( Elevator)'!I29+'Annual income (maintenenace)'!I29</f>
        <v>600</v>
      </c>
      <c r="J29" s="72">
        <f>'Annual income ( Elevator)'!J29+'Annual income (maintenenace)'!J29</f>
        <v>600</v>
      </c>
      <c r="K29" s="72">
        <f>'Annual income ( Elevator)'!K29+'Annual income (maintenenace)'!K29</f>
        <v>600</v>
      </c>
      <c r="L29" s="37">
        <f>'Annual income ( Elevator)'!L29+'Annual income (maintenenace)'!L29</f>
        <v>0</v>
      </c>
      <c r="M29" s="37">
        <f>'Annual income (maintenenace)'!M29+'Annual income ( Elevator)'!M29</f>
        <v>0</v>
      </c>
      <c r="N29" s="37">
        <f>'Annual income ( Elevator)'!N29+'Annual income (maintenenace)'!N29</f>
        <v>0</v>
      </c>
      <c r="O29" s="37">
        <f>'Annual income ( Elevator)'!O29+'Annual income (maintenenace)'!O29</f>
        <v>0</v>
      </c>
      <c r="P29" s="37">
        <f>'Annual income ( Elevator)'!P29+'Annual income (maintenenace)'!P29</f>
        <v>0</v>
      </c>
      <c r="Q29" s="37">
        <f>'Annual income ( Elevator)'!Q29+'Annual income (maintenenace)'!Q29</f>
        <v>0</v>
      </c>
      <c r="R29" s="37">
        <f t="shared" si="0"/>
        <v>8600</v>
      </c>
    </row>
    <row r="30" spans="3:18" ht="18" x14ac:dyDescent="0.45">
      <c r="C30" s="79">
        <v>24</v>
      </c>
      <c r="D30" s="37" t="s">
        <v>74</v>
      </c>
      <c r="E30" s="41" t="s">
        <v>75</v>
      </c>
      <c r="F30" s="72">
        <f>'Annual income ( Elevator)'!F30+'Annual income (maintenenace)'!F30</f>
        <v>600</v>
      </c>
      <c r="G30" s="72">
        <f>'Annual income ( Elevator)'!G30+'Annual income (maintenenace)'!G30</f>
        <v>0</v>
      </c>
      <c r="H30" s="72">
        <f>'Annual income ( Elevator)'!H30+'Annual income (maintenenace)'!H30</f>
        <v>600</v>
      </c>
      <c r="I30" s="72">
        <f>'Annual income ( Elevator)'!I30+'Annual income (maintenenace)'!I30</f>
        <v>600</v>
      </c>
      <c r="J30" s="72">
        <f>'Annual income ( Elevator)'!J30+'Annual income (maintenenace)'!J30</f>
        <v>1200</v>
      </c>
      <c r="K30" s="72">
        <f>'Annual income ( Elevator)'!K30+'Annual income (maintenenace)'!K30</f>
        <v>0</v>
      </c>
      <c r="L30" s="37">
        <f>'Annual income ( Elevator)'!L30+'Annual income (maintenenace)'!L30</f>
        <v>0</v>
      </c>
      <c r="M30" s="37">
        <f>'Annual income (maintenenace)'!M30+'Annual income ( Elevator)'!M30</f>
        <v>0</v>
      </c>
      <c r="N30" s="37">
        <f>'Annual income ( Elevator)'!N30+'Annual income (maintenenace)'!N30</f>
        <v>0</v>
      </c>
      <c r="O30" s="37">
        <f>'Annual income ( Elevator)'!O30+'Annual income (maintenenace)'!O30</f>
        <v>0</v>
      </c>
      <c r="P30" s="37">
        <f>'Annual income ( Elevator)'!P30+'Annual income (maintenenace)'!P30</f>
        <v>0</v>
      </c>
      <c r="Q30" s="37">
        <f>'Annual income ( Elevator)'!Q30+'Annual income (maintenenace)'!Q30</f>
        <v>0</v>
      </c>
      <c r="R30" s="37">
        <f t="shared" si="0"/>
        <v>3000</v>
      </c>
    </row>
    <row r="31" spans="3:18" ht="18" x14ac:dyDescent="0.45">
      <c r="C31" s="79">
        <v>25</v>
      </c>
      <c r="D31" s="37" t="s">
        <v>76</v>
      </c>
      <c r="E31" s="41" t="s">
        <v>77</v>
      </c>
      <c r="F31" s="72">
        <f>'Annual income ( Elevator)'!F31+'Annual income (maintenenace)'!F31</f>
        <v>600</v>
      </c>
      <c r="G31" s="72">
        <f>'Annual income ( Elevator)'!G31+'Annual income (maintenenace)'!G31</f>
        <v>600</v>
      </c>
      <c r="H31" s="72">
        <f>'Annual income ( Elevator)'!H31+'Annual income (maintenenace)'!H31</f>
        <v>600</v>
      </c>
      <c r="I31" s="72">
        <f>'Annual income ( Elevator)'!I31+'Annual income (maintenenace)'!I31</f>
        <v>600</v>
      </c>
      <c r="J31" s="72">
        <f>'Annual income ( Elevator)'!J31+'Annual income (maintenenace)'!J31</f>
        <v>600</v>
      </c>
      <c r="K31" s="72">
        <f>'Annual income ( Elevator)'!K31+'Annual income (maintenenace)'!K31</f>
        <v>600</v>
      </c>
      <c r="L31" s="37">
        <f>'Annual income ( Elevator)'!L31+'Annual income (maintenenace)'!L31</f>
        <v>0</v>
      </c>
      <c r="M31" s="37">
        <f>'Annual income (maintenenace)'!M31+'Annual income ( Elevator)'!M31</f>
        <v>0</v>
      </c>
      <c r="N31" s="37">
        <f>'Annual income ( Elevator)'!N31+'Annual income (maintenenace)'!N31</f>
        <v>0</v>
      </c>
      <c r="O31" s="37">
        <f>'Annual income ( Elevator)'!O31+'Annual income (maintenenace)'!O31</f>
        <v>0</v>
      </c>
      <c r="P31" s="37">
        <f>'Annual income ( Elevator)'!P31+'Annual income (maintenenace)'!P31</f>
        <v>0</v>
      </c>
      <c r="Q31" s="37">
        <f>'Annual income ( Elevator)'!Q31+'Annual income (maintenenace)'!Q31</f>
        <v>0</v>
      </c>
      <c r="R31" s="37">
        <f t="shared" si="0"/>
        <v>3600</v>
      </c>
    </row>
    <row r="32" spans="3:18" ht="18" x14ac:dyDescent="0.45">
      <c r="C32" s="79">
        <v>26</v>
      </c>
      <c r="D32" s="37" t="s">
        <v>78</v>
      </c>
      <c r="E32" s="41" t="s">
        <v>79</v>
      </c>
      <c r="F32" s="72">
        <f>'Annual income ( Elevator)'!F32+'Annual income (maintenenace)'!F32</f>
        <v>0</v>
      </c>
      <c r="G32" s="72">
        <f>'Annual income ( Elevator)'!G32+'Annual income (maintenenace)'!G32</f>
        <v>0</v>
      </c>
      <c r="H32" s="72">
        <f>'Annual income ( Elevator)'!H32+'Annual income (maintenenace)'!H32</f>
        <v>0</v>
      </c>
      <c r="I32" s="72">
        <f>'Annual income ( Elevator)'!I32+'Annual income (maintenenace)'!I32</f>
        <v>1600</v>
      </c>
      <c r="J32" s="72">
        <f>'Annual income ( Elevator)'!J32+'Annual income (maintenenace)'!J32</f>
        <v>400</v>
      </c>
      <c r="K32" s="72">
        <f>'Annual income ( Elevator)'!K32+'Annual income (maintenenace)'!K32</f>
        <v>0</v>
      </c>
      <c r="L32" s="37">
        <f>'Annual income ( Elevator)'!L32+'Annual income (maintenenace)'!L32</f>
        <v>0</v>
      </c>
      <c r="M32" s="37">
        <f>'Annual income (maintenenace)'!M32+'Annual income ( Elevator)'!M32</f>
        <v>0</v>
      </c>
      <c r="N32" s="37">
        <f>'Annual income ( Elevator)'!N32+'Annual income (maintenenace)'!N32</f>
        <v>0</v>
      </c>
      <c r="O32" s="37">
        <f>'Annual income ( Elevator)'!O32+'Annual income (maintenenace)'!O32</f>
        <v>0</v>
      </c>
      <c r="P32" s="37">
        <f>'Annual income ( Elevator)'!P32+'Annual income (maintenenace)'!P32</f>
        <v>0</v>
      </c>
      <c r="Q32" s="37">
        <f>'Annual income ( Elevator)'!Q32+'Annual income (maintenenace)'!Q32</f>
        <v>0</v>
      </c>
      <c r="R32" s="37">
        <f t="shared" si="0"/>
        <v>2000</v>
      </c>
    </row>
    <row r="33" spans="3:19" ht="23.65" thickBot="1" x14ac:dyDescent="0.5">
      <c r="C33" s="157" t="s">
        <v>80</v>
      </c>
      <c r="D33" s="158"/>
      <c r="E33" s="159"/>
      <c r="F33" s="30">
        <f>SUM(F7:F32)</f>
        <v>18300</v>
      </c>
      <c r="G33" s="30">
        <f t="shared" ref="G33:Q33" si="1">SUM(G7:G32)</f>
        <v>7500</v>
      </c>
      <c r="H33" s="30">
        <f t="shared" si="1"/>
        <v>15500</v>
      </c>
      <c r="I33" s="30">
        <f t="shared" si="1"/>
        <v>11100</v>
      </c>
      <c r="J33" s="30">
        <f t="shared" si="1"/>
        <v>15300</v>
      </c>
      <c r="K33" s="30">
        <f t="shared" si="1"/>
        <v>6900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30">
        <f t="shared" si="1"/>
        <v>0</v>
      </c>
      <c r="R33" s="30">
        <f>SUM(R7:R32)</f>
        <v>74600</v>
      </c>
    </row>
    <row r="34" spans="3:19" x14ac:dyDescent="0.45"/>
    <row r="35" spans="3:19" ht="21" x14ac:dyDescent="0.65">
      <c r="F35" s="120" t="b">
        <f>F33=January!H33+January!I33</f>
        <v>1</v>
      </c>
      <c r="G35" s="120" t="b">
        <f>G33=Feb.!H33+Feb.!I33</f>
        <v>1</v>
      </c>
      <c r="H35" s="120" t="b">
        <f>H33=Mar.!H33+Mar.!I33</f>
        <v>1</v>
      </c>
      <c r="I35" s="120" t="b">
        <f>I33=Apr.!H35+Apr.!I35</f>
        <v>1</v>
      </c>
      <c r="J35" s="120" t="b">
        <f>May!H35+May!I35=J33</f>
        <v>1</v>
      </c>
      <c r="K35" s="120" t="b">
        <f>+Jun!H35+Jun!I35=K33</f>
        <v>1</v>
      </c>
      <c r="L35" s="120" t="b">
        <f>Jul!H35+Jul!I35='Annual Income (Combined)'!L33</f>
        <v>1</v>
      </c>
      <c r="M35" s="120" t="b">
        <f>Aug!H35+Aug!I35='Annual Income (Combined)'!M33</f>
        <v>1</v>
      </c>
      <c r="N35" s="120" t="b">
        <f>Sep!I35+Sep!H35='Annual Income (Combined)'!N33</f>
        <v>1</v>
      </c>
      <c r="O35" s="120" t="b">
        <f>Oct!H35+Oct!I35='Annual Income (Combined)'!O33</f>
        <v>1</v>
      </c>
      <c r="P35" s="120" t="b">
        <f>Nov!I35+Nov!H35='Annual Income (Combined)'!P33</f>
        <v>1</v>
      </c>
      <c r="Q35" s="120" t="b">
        <f>Dec!H35+Dec!I35='Annual Income (Combined)'!Q33</f>
        <v>1</v>
      </c>
      <c r="R35" s="120" t="b">
        <f>R33=January!H33+January!I33+Feb.!H33+Feb.!I33+Mar.!H33+Mar.!I33+Apr.!H35+Apr.!I35+May!H35+May!I35+Jun!H35+Jun!I35+Jul!H35+Jul!I35+Aug!H35+Aug!I35+Sep!H35+Sep!I35+Oct!H35+Oct!I35+Nov!H35+Nov!I35+Dec!H35+Dec!I35</f>
        <v>1</v>
      </c>
      <c r="S35" s="120" t="b">
        <f>R33='Annual income ( Elevator)'!R33+'Annual income (maintenenace)'!R33</f>
        <v>1</v>
      </c>
    </row>
    <row r="36" spans="3:19" x14ac:dyDescent="0.45"/>
    <row r="37" spans="3:19" x14ac:dyDescent="0.45">
      <c r="J37" s="36">
        <f>SUM(J35:J36)</f>
        <v>0</v>
      </c>
    </row>
    <row r="38" spans="3:19" ht="27.75" customHeight="1" x14ac:dyDescent="0.45">
      <c r="I38" s="36">
        <f>January!H33+January!I33+Feb.!H33+Feb.!I33+Mar.!H33+Mar.!I33+Apr.!H35+Apr.!I35+May!H35+May!I35+Jun!H35+Jun!I35+Jul!H35+Jul!I35+Aug!H35+Aug!I35+Sep!H35+Sep!I35</f>
        <v>74600</v>
      </c>
    </row>
    <row r="39" spans="3:19" ht="21.75" customHeight="1" x14ac:dyDescent="0.45">
      <c r="I39" s="36">
        <f>I38-R33</f>
        <v>0</v>
      </c>
      <c r="M39" s="36">
        <f>R33+'YTD expense Analysis '!AJ37</f>
        <v>29570</v>
      </c>
      <c r="N39" s="36">
        <f>Dec!S35-'Annual Income (Combined)'!M39-January!R24-January!R30</f>
        <v>-31575</v>
      </c>
    </row>
    <row r="40" spans="3:19" x14ac:dyDescent="0.45"/>
  </sheetData>
  <autoFilter ref="C6:R6" xr:uid="{6E02C345-80AD-49AC-8355-6063465308D9}"/>
  <mergeCells count="3">
    <mergeCell ref="C3:R3"/>
    <mergeCell ref="C4:R4"/>
    <mergeCell ref="C33:E33"/>
  </mergeCells>
  <pageMargins left="0.7" right="0.7" top="0.75" bottom="0.75" header="0.3" footer="0.3"/>
  <pageSetup scale="4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262E-E7C5-4631-802E-D21E998C55CE}">
  <sheetPr>
    <pageSetUpPr fitToPage="1"/>
  </sheetPr>
  <dimension ref="A1:AC39"/>
  <sheetViews>
    <sheetView showGridLines="0" zoomScale="55" zoomScaleNormal="55" workbookViewId="0">
      <selection activeCell="D7" sqref="D7:D3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3" width="15.59765625" style="36" customWidth="1"/>
    <col min="14" max="14" width="17.265625" style="36" customWidth="1"/>
    <col min="15" max="15" width="15.59765625" style="36" customWidth="1"/>
    <col min="16" max="18" width="15.59765625" customWidth="1"/>
    <col min="19" max="22" width="15.59765625" hidden="1" customWidth="1"/>
    <col min="23" max="23" width="14.86328125" customWidth="1"/>
    <col min="24" max="24" width="15" hidden="1" customWidth="1"/>
    <col min="25" max="25" width="45.265625" hidden="1" customWidth="1"/>
    <col min="26" max="26" width="19" hidden="1" customWidth="1"/>
    <col min="27" max="28" width="9.1328125" hidden="1" customWidth="1"/>
    <col min="29" max="29" width="14.3984375" hidden="1" customWidth="1"/>
    <col min="30" max="16383" width="9.1328125" hidden="1"/>
    <col min="16384" max="16384" width="9.1328125" hidden="1" customWidth="1"/>
  </cols>
  <sheetData>
    <row r="1" spans="3:23" x14ac:dyDescent="0.45"/>
    <row r="2" spans="3:23" x14ac:dyDescent="0.45"/>
    <row r="3" spans="3:23" ht="21" x14ac:dyDescent="0.65">
      <c r="C3" s="178" t="s">
        <v>25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</row>
    <row r="4" spans="3:23" ht="21" x14ac:dyDescent="0.65">
      <c r="C4" s="178" t="s">
        <v>135</v>
      </c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3:23" ht="4.5" customHeight="1" thickBot="1" x14ac:dyDescent="0.5"/>
    <row r="6" spans="3:23" ht="34.9" customHeight="1" thickBot="1" x14ac:dyDescent="0.5">
      <c r="C6" s="27" t="s">
        <v>16</v>
      </c>
      <c r="D6" s="28" t="s">
        <v>26</v>
      </c>
      <c r="E6" s="29" t="s">
        <v>27</v>
      </c>
      <c r="F6" s="113" t="s">
        <v>0</v>
      </c>
      <c r="G6" s="113" t="s">
        <v>1</v>
      </c>
      <c r="H6" s="113" t="s">
        <v>2</v>
      </c>
      <c r="I6" s="113" t="s">
        <v>3</v>
      </c>
      <c r="J6" s="113" t="s">
        <v>166</v>
      </c>
      <c r="K6" s="113" t="s">
        <v>167</v>
      </c>
      <c r="L6" s="113" t="s">
        <v>175</v>
      </c>
      <c r="M6" s="113" t="s">
        <v>176</v>
      </c>
      <c r="N6" s="113" t="s">
        <v>177</v>
      </c>
      <c r="O6" s="113" t="s">
        <v>178</v>
      </c>
      <c r="P6" s="113" t="s">
        <v>179</v>
      </c>
      <c r="Q6" s="113" t="s">
        <v>180</v>
      </c>
      <c r="R6" s="43" t="s">
        <v>28</v>
      </c>
    </row>
    <row r="7" spans="3:23" ht="18" x14ac:dyDescent="0.45">
      <c r="C7" s="79">
        <v>1</v>
      </c>
      <c r="D7" s="37" t="s">
        <v>29</v>
      </c>
      <c r="E7" s="40" t="s">
        <v>30</v>
      </c>
      <c r="F7" s="37">
        <f>January!K7+January!H7+January!F7</f>
        <v>0</v>
      </c>
      <c r="G7" s="37">
        <f>Feb.!F7+Feb.!H7</f>
        <v>-500</v>
      </c>
      <c r="H7" s="37">
        <f>Mar.!H7+Mar.!F7</f>
        <v>0</v>
      </c>
      <c r="I7" s="37">
        <f>Apr.!H8+Apr.!F8</f>
        <v>0</v>
      </c>
      <c r="J7" s="37">
        <f>May!F8+May!H8</f>
        <v>0</v>
      </c>
      <c r="K7" s="37">
        <f>Jun!F8+Jun!H8</f>
        <v>0</v>
      </c>
      <c r="L7" s="37">
        <f>Jul!F8+Jul!H8</f>
        <v>0</v>
      </c>
      <c r="M7" s="37">
        <f>Aug!F8+Aug!H8</f>
        <v>0</v>
      </c>
      <c r="N7" s="37">
        <f>Sep!F8+Sep!H8</f>
        <v>0</v>
      </c>
      <c r="O7" s="37">
        <f>Oct!F8+Oct!H8</f>
        <v>0</v>
      </c>
      <c r="P7" s="37">
        <f>Nov!F8+Nov!H8</f>
        <v>0</v>
      </c>
      <c r="Q7" s="37">
        <f>Dec!F8+Dec!H8</f>
        <v>0</v>
      </c>
      <c r="R7" s="78">
        <f>SUM(F7:Q7)</f>
        <v>-500</v>
      </c>
      <c r="S7" t="b">
        <f>F7=January!N7</f>
        <v>1</v>
      </c>
      <c r="T7" t="b">
        <f>(G7+F7)=Feb.!N7</f>
        <v>1</v>
      </c>
      <c r="U7" t="b">
        <f>(F7+G7+H7)=Mar.!N7</f>
        <v>1</v>
      </c>
      <c r="V7" t="b">
        <f>(F7+G7+H7+I7)=Apr.!M8</f>
        <v>1</v>
      </c>
      <c r="W7">
        <v>-500</v>
      </c>
    </row>
    <row r="8" spans="3:23" ht="18" x14ac:dyDescent="0.45">
      <c r="C8" s="79">
        <v>2</v>
      </c>
      <c r="D8" s="37" t="s">
        <v>194</v>
      </c>
      <c r="E8" s="40" t="s">
        <v>31</v>
      </c>
      <c r="F8" s="37">
        <f>January!K8+January!H8+January!F8</f>
        <v>0</v>
      </c>
      <c r="G8" s="37">
        <f>Feb.!F8+Feb.!H8</f>
        <v>0</v>
      </c>
      <c r="H8" s="37">
        <f>Mar.!H8+Mar.!F8</f>
        <v>0</v>
      </c>
      <c r="I8" s="37">
        <f>Apr.!H9+Apr.!F9</f>
        <v>0</v>
      </c>
      <c r="J8" s="37">
        <f>May!F9+May!H9</f>
        <v>0</v>
      </c>
      <c r="K8" s="37">
        <f>Jun!F9+Jun!H9</f>
        <v>0</v>
      </c>
      <c r="L8" s="37">
        <f>Jul!F9+Jul!H9</f>
        <v>0</v>
      </c>
      <c r="M8" s="37">
        <f>Aug!F9+Aug!H9</f>
        <v>0</v>
      </c>
      <c r="N8" s="37">
        <f>Sep!F9+Sep!H9</f>
        <v>0</v>
      </c>
      <c r="O8" s="37">
        <f>Oct!F9+Oct!H9</f>
        <v>0</v>
      </c>
      <c r="P8" s="37">
        <f>Nov!F9+Nov!H9</f>
        <v>0</v>
      </c>
      <c r="Q8" s="37">
        <f>Dec!F9+Dec!H9</f>
        <v>0</v>
      </c>
      <c r="R8" s="78">
        <f t="shared" ref="R8:R32" si="0">SUM(F8:Q8)</f>
        <v>0</v>
      </c>
      <c r="S8" t="b">
        <f>F8=January!N8</f>
        <v>1</v>
      </c>
      <c r="T8" t="b">
        <f>(G8+F8)=Feb.!N8</f>
        <v>1</v>
      </c>
      <c r="U8" t="b">
        <f>(F8+G8+H8)=Mar.!N8</f>
        <v>1</v>
      </c>
      <c r="V8" t="b">
        <f>(F8+G8+H8+I8)=Apr.!M9</f>
        <v>1</v>
      </c>
      <c r="W8">
        <v>-1500</v>
      </c>
    </row>
    <row r="9" spans="3:23" ht="18" x14ac:dyDescent="0.45">
      <c r="C9" s="79">
        <v>3</v>
      </c>
      <c r="D9" s="37" t="s">
        <v>32</v>
      </c>
      <c r="E9" s="40" t="s">
        <v>33</v>
      </c>
      <c r="F9" s="37">
        <f>January!K9+January!H9+January!F9</f>
        <v>-5700</v>
      </c>
      <c r="G9" s="37">
        <f>Feb.!F9+Feb.!H9</f>
        <v>-300</v>
      </c>
      <c r="H9" s="37">
        <f>Mar.!H9+Mar.!F9</f>
        <v>-300</v>
      </c>
      <c r="I9" s="37">
        <f>Apr.!H10+Apr.!F10</f>
        <v>-300</v>
      </c>
      <c r="J9" s="37">
        <f>May!F10+May!H10</f>
        <v>-300</v>
      </c>
      <c r="K9" s="37">
        <f>Jun!F10+Jun!H10</f>
        <v>-300</v>
      </c>
      <c r="L9" s="37">
        <f>Jul!F10+Jul!H10</f>
        <v>0</v>
      </c>
      <c r="M9" s="37">
        <f>Aug!F10+Aug!H10</f>
        <v>0</v>
      </c>
      <c r="N9" s="37">
        <f>Sep!F10+Sep!H10</f>
        <v>0</v>
      </c>
      <c r="O9" s="37">
        <f>Oct!F10+Oct!H10</f>
        <v>0</v>
      </c>
      <c r="P9" s="37">
        <f>Nov!F10+Nov!H10</f>
        <v>0</v>
      </c>
      <c r="Q9" s="37">
        <f>Dec!F10+Dec!H10</f>
        <v>0</v>
      </c>
      <c r="R9" s="78">
        <f t="shared" si="0"/>
        <v>-7200</v>
      </c>
      <c r="S9" t="b">
        <f>F9=January!N9</f>
        <v>1</v>
      </c>
      <c r="T9" t="b">
        <f>(G9+F9)=Feb.!N9</f>
        <v>1</v>
      </c>
      <c r="U9" t="b">
        <f>(F9+G9+H9)=Mar.!N9</f>
        <v>1</v>
      </c>
      <c r="V9" t="b">
        <f>(F9+G9+H9+I9)=Apr.!M10</f>
        <v>1</v>
      </c>
      <c r="W9">
        <v>-5100</v>
      </c>
    </row>
    <row r="10" spans="3:23" ht="18" x14ac:dyDescent="0.45">
      <c r="C10" s="79">
        <v>4</v>
      </c>
      <c r="D10" s="37" t="s">
        <v>34</v>
      </c>
      <c r="E10" s="40" t="s">
        <v>35</v>
      </c>
      <c r="F10" s="37">
        <f>January!K10+January!H10+January!F10</f>
        <v>0</v>
      </c>
      <c r="G10" s="37">
        <f>Feb.!F10+Feb.!H10</f>
        <v>0</v>
      </c>
      <c r="H10" s="37">
        <f>Mar.!H10+Mar.!F10</f>
        <v>0</v>
      </c>
      <c r="I10" s="37">
        <f>Apr.!H11+Apr.!F11</f>
        <v>0</v>
      </c>
      <c r="J10" s="37">
        <f>May!F11+May!H11</f>
        <v>0</v>
      </c>
      <c r="K10" s="37">
        <f>Jun!F11+Jun!H11</f>
        <v>0</v>
      </c>
      <c r="L10" s="37">
        <f>Jul!F11+Jul!H11</f>
        <v>0</v>
      </c>
      <c r="M10" s="37">
        <f>Aug!F11+Aug!H11</f>
        <v>0</v>
      </c>
      <c r="N10" s="37">
        <f>Sep!F11+Sep!H11</f>
        <v>0</v>
      </c>
      <c r="O10" s="37">
        <f>Oct!F11+Oct!H11</f>
        <v>0</v>
      </c>
      <c r="P10" s="37">
        <f>Nov!F11+Nov!H11</f>
        <v>0</v>
      </c>
      <c r="Q10" s="37">
        <f>Dec!F11+Dec!H11</f>
        <v>0</v>
      </c>
      <c r="R10" s="78">
        <f t="shared" si="0"/>
        <v>0</v>
      </c>
      <c r="S10" t="b">
        <f>F10=January!N10</f>
        <v>1</v>
      </c>
      <c r="T10" t="b">
        <f>(G10+F10)=Feb.!N10</f>
        <v>1</v>
      </c>
      <c r="U10" t="b">
        <f>(F10+G10+H10)=Mar.!N10</f>
        <v>1</v>
      </c>
      <c r="V10" t="b">
        <f>(F10+G10+H10+I10)=Apr.!M11</f>
        <v>1</v>
      </c>
      <c r="W10">
        <v>0</v>
      </c>
    </row>
    <row r="11" spans="3:23" ht="18" x14ac:dyDescent="0.45">
      <c r="C11" s="79">
        <v>5</v>
      </c>
      <c r="D11" s="37" t="s">
        <v>36</v>
      </c>
      <c r="E11" s="40" t="s">
        <v>37</v>
      </c>
      <c r="F11" s="37">
        <f>January!K11+January!H11+January!F11</f>
        <v>0</v>
      </c>
      <c r="G11" s="37">
        <f>Feb.!F11+Feb.!H11</f>
        <v>0</v>
      </c>
      <c r="H11" s="37">
        <f>Mar.!H11+Mar.!F11</f>
        <v>500</v>
      </c>
      <c r="I11" s="37">
        <f>Apr.!H12+Apr.!F12</f>
        <v>0</v>
      </c>
      <c r="J11" s="37">
        <f>May!F12+May!H12</f>
        <v>0</v>
      </c>
      <c r="K11" s="37">
        <f>Jun!F12+Jun!H12</f>
        <v>0</v>
      </c>
      <c r="L11" s="37">
        <f>Jul!F12+Jul!H12</f>
        <v>0</v>
      </c>
      <c r="M11" s="37">
        <f>Aug!F12+Aug!H12</f>
        <v>0</v>
      </c>
      <c r="N11" s="37">
        <f>Sep!F12+Sep!H12</f>
        <v>0</v>
      </c>
      <c r="O11" s="37">
        <f>Oct!F12+Oct!H12</f>
        <v>0</v>
      </c>
      <c r="P11" s="37">
        <f>Nov!F12+Nov!H12</f>
        <v>0</v>
      </c>
      <c r="Q11" s="37">
        <f>Dec!F12+Dec!H12</f>
        <v>0</v>
      </c>
      <c r="R11" s="78">
        <f t="shared" si="0"/>
        <v>500</v>
      </c>
      <c r="S11" t="b">
        <f>F11=January!N11</f>
        <v>1</v>
      </c>
      <c r="T11" t="b">
        <f>(G11+F11)=Feb.!N11</f>
        <v>1</v>
      </c>
      <c r="U11" t="b">
        <f>(F11+G11+H11)=Mar.!N11</f>
        <v>0</v>
      </c>
      <c r="V11" t="b">
        <f>(F11+G11+H11+I11)=Apr.!M12</f>
        <v>0</v>
      </c>
      <c r="W11">
        <v>0</v>
      </c>
    </row>
    <row r="12" spans="3:23" ht="18" x14ac:dyDescent="0.45">
      <c r="C12" s="79">
        <v>6</v>
      </c>
      <c r="D12" s="37" t="s">
        <v>38</v>
      </c>
      <c r="E12" s="40" t="s">
        <v>39</v>
      </c>
      <c r="F12" s="37">
        <f>January!K12+January!H12+January!F12</f>
        <v>0</v>
      </c>
      <c r="G12" s="37">
        <f>Feb.!F12+Feb.!H12</f>
        <v>0</v>
      </c>
      <c r="H12" s="37">
        <f>Mar.!H12+Mar.!F12</f>
        <v>0</v>
      </c>
      <c r="I12" s="37">
        <f>Apr.!H13+Apr.!F13</f>
        <v>0</v>
      </c>
      <c r="J12" s="37">
        <f>May!F13+May!H13</f>
        <v>0</v>
      </c>
      <c r="K12" s="37">
        <f>Jun!F13+Jun!H13</f>
        <v>0</v>
      </c>
      <c r="L12" s="37">
        <f>Jul!F13+Jul!H13</f>
        <v>0</v>
      </c>
      <c r="M12" s="37">
        <f>Aug!F13+Aug!H13</f>
        <v>0</v>
      </c>
      <c r="N12" s="37">
        <f>Sep!F13+Sep!H13</f>
        <v>0</v>
      </c>
      <c r="O12" s="37">
        <f>Oct!F13+Oct!H13</f>
        <v>0</v>
      </c>
      <c r="P12" s="37">
        <f>Nov!F13+Nov!H13</f>
        <v>0</v>
      </c>
      <c r="Q12" s="37">
        <f>Dec!F13+Dec!H13</f>
        <v>0</v>
      </c>
      <c r="R12" s="78">
        <f t="shared" si="0"/>
        <v>0</v>
      </c>
      <c r="S12" t="b">
        <f>F12=January!N12</f>
        <v>1</v>
      </c>
      <c r="T12" t="b">
        <f>(G12+F12)=Feb.!N12</f>
        <v>1</v>
      </c>
      <c r="U12" t="b">
        <f>(F12+G12+H12)=Mar.!N12</f>
        <v>1</v>
      </c>
      <c r="V12" t="b">
        <f>(F12+G12+H12+I12)=Apr.!M13</f>
        <v>1</v>
      </c>
      <c r="W12">
        <v>0</v>
      </c>
    </row>
    <row r="13" spans="3:23" ht="18" x14ac:dyDescent="0.45">
      <c r="C13" s="79">
        <v>7</v>
      </c>
      <c r="D13" s="37" t="s">
        <v>40</v>
      </c>
      <c r="E13" s="40" t="s">
        <v>41</v>
      </c>
      <c r="F13" s="37">
        <f>January!K13+January!H13+January!F13</f>
        <v>-3000</v>
      </c>
      <c r="G13" s="37">
        <f>Feb.!F13+Feb.!H13</f>
        <v>-300</v>
      </c>
      <c r="H13" s="37">
        <f>Mar.!H13+Mar.!F13</f>
        <v>-300</v>
      </c>
      <c r="I13" s="37">
        <f>Apr.!H14+Apr.!F14</f>
        <v>-300</v>
      </c>
      <c r="J13" s="37">
        <f>May!F14+May!H14</f>
        <v>3900</v>
      </c>
      <c r="K13" s="37">
        <f>Jun!F14+Jun!H14</f>
        <v>-300</v>
      </c>
      <c r="L13" s="37">
        <f>Jul!F14+Jul!H14</f>
        <v>0</v>
      </c>
      <c r="M13" s="37">
        <f>Aug!F14+Aug!H14</f>
        <v>0</v>
      </c>
      <c r="N13" s="37">
        <f>Sep!F14+Sep!H14</f>
        <v>0</v>
      </c>
      <c r="O13" s="37">
        <f>Oct!F14+Oct!H14</f>
        <v>0</v>
      </c>
      <c r="P13" s="37">
        <f>Nov!F14+Nov!H14</f>
        <v>0</v>
      </c>
      <c r="Q13" s="37">
        <f>Dec!F14+Dec!H14</f>
        <v>0</v>
      </c>
      <c r="R13" s="78">
        <f t="shared" si="0"/>
        <v>-300</v>
      </c>
      <c r="S13" t="b">
        <f>F13=January!N13</f>
        <v>1</v>
      </c>
      <c r="T13" t="b">
        <f>(G13+F13)=Feb.!N13</f>
        <v>1</v>
      </c>
      <c r="U13" t="b">
        <f>(F13+G13+H13)=Mar.!N13</f>
        <v>1</v>
      </c>
      <c r="V13" t="b">
        <f>(F13+G13+H13+I13)=Apr.!M14</f>
        <v>1</v>
      </c>
      <c r="W13">
        <v>-2400</v>
      </c>
    </row>
    <row r="14" spans="3:23" ht="18" x14ac:dyDescent="0.45">
      <c r="C14" s="79">
        <v>8</v>
      </c>
      <c r="D14" s="37" t="s">
        <v>42</v>
      </c>
      <c r="E14" s="41" t="s">
        <v>43</v>
      </c>
      <c r="F14" s="37">
        <f>January!K14+January!H14+January!F14</f>
        <v>0</v>
      </c>
      <c r="G14" s="37">
        <f>Feb.!F14+Feb.!H14</f>
        <v>-300</v>
      </c>
      <c r="H14" s="37">
        <f>Mar.!H14+Mar.!F14</f>
        <v>300</v>
      </c>
      <c r="I14" s="37">
        <f>Apr.!H15+Apr.!F15</f>
        <v>0</v>
      </c>
      <c r="J14" s="37">
        <f>May!F15+May!H15</f>
        <v>0</v>
      </c>
      <c r="K14" s="37">
        <f>Jun!F15+Jun!H15</f>
        <v>-300</v>
      </c>
      <c r="L14" s="37">
        <f>Jul!F15+Jul!H15</f>
        <v>0</v>
      </c>
      <c r="M14" s="37">
        <f>Aug!F15+Aug!H15</f>
        <v>0</v>
      </c>
      <c r="N14" s="37">
        <f>Sep!F15+Sep!H15</f>
        <v>0</v>
      </c>
      <c r="O14" s="37">
        <f>Oct!F15+Oct!H15</f>
        <v>0</v>
      </c>
      <c r="P14" s="37">
        <f>Nov!F15+Nov!H15</f>
        <v>0</v>
      </c>
      <c r="Q14" s="37">
        <f>Dec!F15+Dec!H15</f>
        <v>0</v>
      </c>
      <c r="R14" s="78">
        <f t="shared" si="0"/>
        <v>-300</v>
      </c>
      <c r="S14" t="b">
        <f>F14=January!N14</f>
        <v>1</v>
      </c>
      <c r="T14" t="b">
        <f>(G14+F14)=Feb.!N14</f>
        <v>1</v>
      </c>
      <c r="U14" t="b">
        <f>(F14+G14+H14)=Mar.!N14</f>
        <v>1</v>
      </c>
      <c r="V14" t="b">
        <f>(F14+G14+H14+I14)=Apr.!M15</f>
        <v>1</v>
      </c>
      <c r="W14">
        <v>-300</v>
      </c>
    </row>
    <row r="15" spans="3:23" ht="18" x14ac:dyDescent="0.45">
      <c r="C15" s="79">
        <v>9</v>
      </c>
      <c r="D15" s="37" t="s">
        <v>44</v>
      </c>
      <c r="E15" s="41" t="s">
        <v>45</v>
      </c>
      <c r="F15" s="37">
        <f>January!K15+January!H15+January!F15</f>
        <v>0</v>
      </c>
      <c r="G15" s="37">
        <f>Feb.!F15+Feb.!H15</f>
        <v>0</v>
      </c>
      <c r="H15" s="37">
        <f>Mar.!H15+Mar.!F15</f>
        <v>0</v>
      </c>
      <c r="I15" s="37">
        <f>Apr.!H16+Apr.!F16</f>
        <v>0</v>
      </c>
      <c r="J15" s="37">
        <f>May!F16+May!H16</f>
        <v>0</v>
      </c>
      <c r="K15" s="37">
        <f>Jun!F16+Jun!H16</f>
        <v>-500</v>
      </c>
      <c r="L15" s="37">
        <f>Jul!F16+Jul!H16</f>
        <v>0</v>
      </c>
      <c r="M15" s="37">
        <f>Aug!F16+Aug!H16</f>
        <v>0</v>
      </c>
      <c r="N15" s="37">
        <f>Sep!F16+Sep!H16</f>
        <v>0</v>
      </c>
      <c r="O15" s="37">
        <f>Oct!F16+Oct!H16</f>
        <v>0</v>
      </c>
      <c r="P15" s="37">
        <f>Nov!F16+Nov!H16</f>
        <v>0</v>
      </c>
      <c r="Q15" s="37">
        <f>Dec!F16+Dec!H16</f>
        <v>0</v>
      </c>
      <c r="R15" s="78">
        <f t="shared" si="0"/>
        <v>-500</v>
      </c>
      <c r="S15" t="b">
        <f>F15=January!N15</f>
        <v>1</v>
      </c>
      <c r="T15" t="b">
        <f>(G15+F15)=Feb.!N15</f>
        <v>1</v>
      </c>
      <c r="U15" t="b">
        <f>(F15+G15+H15)=Mar.!N15</f>
        <v>1</v>
      </c>
      <c r="V15" t="b">
        <f>(F15+G15+H15+I15)=Apr.!M16</f>
        <v>1</v>
      </c>
      <c r="W15">
        <v>-1000</v>
      </c>
    </row>
    <row r="16" spans="3:23" ht="18" x14ac:dyDescent="0.45">
      <c r="C16" s="79">
        <v>10</v>
      </c>
      <c r="D16" s="37" t="s">
        <v>46</v>
      </c>
      <c r="E16" s="41" t="s">
        <v>47</v>
      </c>
      <c r="F16" s="37">
        <f>January!K16+January!H16+January!F16</f>
        <v>-500</v>
      </c>
      <c r="G16" s="37">
        <f>Feb.!F16+Feb.!H16</f>
        <v>-500</v>
      </c>
      <c r="H16" s="37">
        <f>Mar.!H16+Mar.!F16</f>
        <v>500</v>
      </c>
      <c r="I16" s="37">
        <f>Apr.!H17+Apr.!F17</f>
        <v>500</v>
      </c>
      <c r="J16" s="37">
        <f>May!F17+May!H17</f>
        <v>-500</v>
      </c>
      <c r="K16" s="37">
        <f>Jun!F17+Jun!H17</f>
        <v>-500</v>
      </c>
      <c r="L16" s="37">
        <f>Jul!F17+Jul!H17</f>
        <v>0</v>
      </c>
      <c r="M16" s="37">
        <f>Aug!F17+Aug!H17</f>
        <v>0</v>
      </c>
      <c r="N16" s="37">
        <f>Sep!F17+Sep!H17</f>
        <v>0</v>
      </c>
      <c r="O16" s="37">
        <f>Oct!F17+Oct!H17</f>
        <v>0</v>
      </c>
      <c r="P16" s="37">
        <f>Nov!F17+Nov!H17</f>
        <v>0</v>
      </c>
      <c r="Q16" s="37">
        <f>Dec!F17+Dec!H17</f>
        <v>0</v>
      </c>
      <c r="R16" s="78">
        <f t="shared" si="0"/>
        <v>-1000</v>
      </c>
      <c r="S16" t="b">
        <f>F16=January!N16</f>
        <v>1</v>
      </c>
      <c r="T16" t="b">
        <f>(G16+F16)=Feb.!N16</f>
        <v>1</v>
      </c>
      <c r="U16" t="b">
        <f>(F16+G16+H16)=Mar.!N16</f>
        <v>1</v>
      </c>
      <c r="V16" t="b">
        <f>(F16+G16+H16+I16)=Apr.!M17</f>
        <v>1</v>
      </c>
      <c r="W16">
        <v>-500</v>
      </c>
    </row>
    <row r="17" spans="3:23" ht="18" x14ac:dyDescent="0.45">
      <c r="C17" s="79">
        <v>11</v>
      </c>
      <c r="D17" s="37" t="s">
        <v>48</v>
      </c>
      <c r="E17" s="41" t="s">
        <v>49</v>
      </c>
      <c r="F17" s="37">
        <f>January!K17+January!H17+January!F17</f>
        <v>-1000</v>
      </c>
      <c r="G17" s="37">
        <f>Feb.!F17+Feb.!H17</f>
        <v>-500</v>
      </c>
      <c r="H17" s="37">
        <f>Mar.!H17+Mar.!F17</f>
        <v>1500</v>
      </c>
      <c r="I17" s="37">
        <f>Apr.!H18+Apr.!F18</f>
        <v>-500</v>
      </c>
      <c r="J17" s="37">
        <f>May!F18+May!H18</f>
        <v>-500</v>
      </c>
      <c r="K17" s="37">
        <f>Jun!F18+Jun!H18</f>
        <v>500</v>
      </c>
      <c r="L17" s="37">
        <f>Jul!F18+Jul!H18</f>
        <v>0</v>
      </c>
      <c r="M17" s="37">
        <f>Aug!F18+Aug!H18</f>
        <v>0</v>
      </c>
      <c r="N17" s="37">
        <f>Sep!F18+Sep!H18</f>
        <v>0</v>
      </c>
      <c r="O17" s="37">
        <f>Oct!F18+Oct!H18</f>
        <v>0</v>
      </c>
      <c r="P17" s="37">
        <f>Nov!F18+Nov!H18</f>
        <v>0</v>
      </c>
      <c r="Q17" s="37">
        <f>Dec!F18+Dec!H18</f>
        <v>0</v>
      </c>
      <c r="R17" s="78">
        <f t="shared" si="0"/>
        <v>-500</v>
      </c>
      <c r="S17" t="b">
        <f>F17=January!N17</f>
        <v>1</v>
      </c>
      <c r="T17" t="b">
        <f>(G17+F17)=Feb.!N17</f>
        <v>1</v>
      </c>
      <c r="U17" t="b">
        <f>(F17+G17+H17)=Mar.!N17</f>
        <v>1</v>
      </c>
      <c r="V17" t="b">
        <f>(F17+G17+H17+I17)=Apr.!M18</f>
        <v>1</v>
      </c>
      <c r="W17">
        <v>0</v>
      </c>
    </row>
    <row r="18" spans="3:23" ht="18" x14ac:dyDescent="0.45">
      <c r="C18" s="79">
        <v>12</v>
      </c>
      <c r="D18" s="37" t="s">
        <v>50</v>
      </c>
      <c r="E18" s="41" t="s">
        <v>51</v>
      </c>
      <c r="F18" s="37">
        <f>January!K18+January!H18+January!F18</f>
        <v>0</v>
      </c>
      <c r="G18" s="37">
        <f>Feb.!F18+Feb.!H18</f>
        <v>0</v>
      </c>
      <c r="H18" s="37">
        <f>Mar.!H18+Mar.!F18</f>
        <v>0</v>
      </c>
      <c r="I18" s="37">
        <f>Apr.!H19+Apr.!F19</f>
        <v>0</v>
      </c>
      <c r="J18" s="37">
        <f>May!F19+May!H19</f>
        <v>0</v>
      </c>
      <c r="K18" s="37">
        <f>Jun!F19+Jun!H19</f>
        <v>0</v>
      </c>
      <c r="L18" s="37">
        <f>Jul!F19+Jul!H19</f>
        <v>0</v>
      </c>
      <c r="M18" s="37">
        <f>Aug!F19+Aug!H19</f>
        <v>0</v>
      </c>
      <c r="N18" s="37">
        <f>Sep!F19+Sep!H19</f>
        <v>0</v>
      </c>
      <c r="O18" s="37">
        <f>Oct!F19+Oct!H19</f>
        <v>0</v>
      </c>
      <c r="P18" s="37">
        <f>Nov!F19+Nov!H19</f>
        <v>0</v>
      </c>
      <c r="Q18" s="37">
        <f>Dec!F19+Dec!H19</f>
        <v>0</v>
      </c>
      <c r="R18" s="78">
        <f t="shared" si="0"/>
        <v>0</v>
      </c>
      <c r="S18" t="b">
        <f>F18=January!N18</f>
        <v>1</v>
      </c>
      <c r="T18" t="b">
        <f>(G18+F18)=Feb.!N18</f>
        <v>1</v>
      </c>
      <c r="U18" t="b">
        <f>(F18+G18+H18)=Mar.!N18</f>
        <v>1</v>
      </c>
      <c r="V18" t="b">
        <f>(F18+G18+H18+I18)=Apr.!M19</f>
        <v>1</v>
      </c>
      <c r="W18">
        <v>0</v>
      </c>
    </row>
    <row r="19" spans="3:23" ht="18" x14ac:dyDescent="0.45">
      <c r="C19" s="79">
        <v>13</v>
      </c>
      <c r="D19" s="37" t="s">
        <v>52</v>
      </c>
      <c r="E19" s="41" t="s">
        <v>53</v>
      </c>
      <c r="F19" s="37">
        <f>January!K19+January!H19+January!F19</f>
        <v>2700</v>
      </c>
      <c r="G19" s="37">
        <f>Feb.!F19+Feb.!H19</f>
        <v>-500</v>
      </c>
      <c r="H19" s="37">
        <f>Mar.!H19+Mar.!F19</f>
        <v>-500</v>
      </c>
      <c r="I19" s="37">
        <f>Apr.!H20+Apr.!F20</f>
        <v>-500</v>
      </c>
      <c r="J19" s="37">
        <f>May!F20+May!H20</f>
        <v>-500</v>
      </c>
      <c r="K19" s="37">
        <f>Jun!F20+Jun!H20</f>
        <v>-500</v>
      </c>
      <c r="L19" s="37">
        <f>Jul!F20+Jul!H20</f>
        <v>0</v>
      </c>
      <c r="M19" s="37">
        <f>Aug!F20+Aug!H20</f>
        <v>0</v>
      </c>
      <c r="N19" s="37">
        <f>Sep!F20+Sep!H20</f>
        <v>0</v>
      </c>
      <c r="O19" s="37">
        <f>Oct!F20+Oct!H20</f>
        <v>0</v>
      </c>
      <c r="P19" s="37">
        <f>Nov!F20+Nov!H20</f>
        <v>0</v>
      </c>
      <c r="Q19" s="37">
        <f>Dec!F20+Dec!H20</f>
        <v>0</v>
      </c>
      <c r="R19" s="78">
        <f t="shared" si="0"/>
        <v>200</v>
      </c>
      <c r="S19" t="b">
        <f>F19=January!N19</f>
        <v>1</v>
      </c>
      <c r="T19" t="b">
        <f>(G19+F19)=Feb.!N19</f>
        <v>1</v>
      </c>
      <c r="U19" t="b">
        <f>(F19+G19+H19)=Mar.!N19</f>
        <v>1</v>
      </c>
      <c r="V19" t="b">
        <f>(F19+G19+H19+I19)=Apr.!M20</f>
        <v>1</v>
      </c>
      <c r="W19">
        <v>300</v>
      </c>
    </row>
    <row r="20" spans="3:23" ht="18" x14ac:dyDescent="0.45">
      <c r="C20" s="79">
        <v>14</v>
      </c>
      <c r="D20" s="37" t="s">
        <v>169</v>
      </c>
      <c r="E20" s="41" t="s">
        <v>55</v>
      </c>
      <c r="F20" s="37">
        <f>January!K20+January!H20+January!F20</f>
        <v>0</v>
      </c>
      <c r="G20" s="37">
        <f>Feb.!F20+Feb.!H20</f>
        <v>-500</v>
      </c>
      <c r="H20" s="37">
        <f>Mar.!H20+Mar.!F20</f>
        <v>500</v>
      </c>
      <c r="I20" s="37">
        <f>Apr.!H21+Apr.!F21</f>
        <v>0</v>
      </c>
      <c r="J20" s="37">
        <f>May!F21+May!H21</f>
        <v>0</v>
      </c>
      <c r="K20" s="37">
        <f>Jun!F21+Jun!H21</f>
        <v>-500</v>
      </c>
      <c r="L20" s="37">
        <f>Jul!F21+Jul!H21</f>
        <v>0</v>
      </c>
      <c r="M20" s="37">
        <f>Aug!F21+Aug!H21</f>
        <v>0</v>
      </c>
      <c r="N20" s="37">
        <f>Sep!F21+Sep!H21</f>
        <v>0</v>
      </c>
      <c r="O20" s="37">
        <f>Oct!F21+Oct!H21</f>
        <v>0</v>
      </c>
      <c r="P20" s="37">
        <f>Nov!F21+Nov!H21</f>
        <v>0</v>
      </c>
      <c r="Q20" s="37">
        <f>Dec!F21+Dec!H21</f>
        <v>0</v>
      </c>
      <c r="R20" s="78">
        <f t="shared" si="0"/>
        <v>-500</v>
      </c>
      <c r="S20" t="b">
        <f>F20=January!N20</f>
        <v>1</v>
      </c>
      <c r="T20" t="b">
        <f>(G20+F20)=Feb.!N20</f>
        <v>1</v>
      </c>
      <c r="U20" t="b">
        <f>(F20+G20+H20)=Mar.!N20</f>
        <v>1</v>
      </c>
      <c r="V20" t="b">
        <f>(F20+G20+H20+I20)=Apr.!M21</f>
        <v>1</v>
      </c>
      <c r="W20">
        <v>0</v>
      </c>
    </row>
    <row r="21" spans="3:23" ht="18" x14ac:dyDescent="0.45">
      <c r="C21" s="79">
        <v>15</v>
      </c>
      <c r="D21" s="37" t="s">
        <v>56</v>
      </c>
      <c r="E21" s="41" t="s">
        <v>57</v>
      </c>
      <c r="F21" s="37">
        <f>January!K21+January!H21+January!F21</f>
        <v>-500</v>
      </c>
      <c r="G21" s="37">
        <f>Feb.!F21+Feb.!H21</f>
        <v>-500</v>
      </c>
      <c r="H21" s="37">
        <f>Mar.!H21+Mar.!F21</f>
        <v>1000</v>
      </c>
      <c r="I21" s="37">
        <f>Apr.!H22+Apr.!F22</f>
        <v>0</v>
      </c>
      <c r="J21" s="37">
        <f>May!F22+May!H22</f>
        <v>0</v>
      </c>
      <c r="K21" s="37">
        <f>Jun!F22+Jun!H22</f>
        <v>-500</v>
      </c>
      <c r="L21" s="37">
        <f>Jul!F22+Jul!H22</f>
        <v>0</v>
      </c>
      <c r="M21" s="37">
        <f>Aug!F22+Aug!H22</f>
        <v>0</v>
      </c>
      <c r="N21" s="37">
        <f>Sep!F22+Sep!H22</f>
        <v>0</v>
      </c>
      <c r="O21" s="37">
        <f>Oct!F22+Oct!H22</f>
        <v>0</v>
      </c>
      <c r="P21" s="37">
        <f>Nov!F22+Nov!H22</f>
        <v>0</v>
      </c>
      <c r="Q21" s="37">
        <f>Dec!F22+Dec!H22</f>
        <v>0</v>
      </c>
      <c r="R21" s="78">
        <f t="shared" si="0"/>
        <v>-500</v>
      </c>
      <c r="S21" t="b">
        <f>F21=January!N21</f>
        <v>1</v>
      </c>
      <c r="T21" t="b">
        <f>(G21+F21)=Feb.!N21</f>
        <v>1</v>
      </c>
      <c r="U21" t="b">
        <f>(F21+G21+H21)=Mar.!N21</f>
        <v>1</v>
      </c>
      <c r="V21" t="b">
        <f>(F21+G21+H21+I21)=Apr.!M22</f>
        <v>1</v>
      </c>
      <c r="W21">
        <v>-500</v>
      </c>
    </row>
    <row r="22" spans="3:23" ht="25.5" customHeight="1" x14ac:dyDescent="0.45">
      <c r="C22" s="79">
        <v>16</v>
      </c>
      <c r="D22" s="37" t="s">
        <v>58</v>
      </c>
      <c r="E22" s="41" t="s">
        <v>59</v>
      </c>
      <c r="F22" s="37">
        <f>January!K22+January!H22+January!F22</f>
        <v>-500</v>
      </c>
      <c r="G22" s="37">
        <f>Feb.!F22+Feb.!H22</f>
        <v>-500</v>
      </c>
      <c r="H22" s="37">
        <f>Mar.!H22+Mar.!F22</f>
        <v>-500</v>
      </c>
      <c r="I22" s="37">
        <f>Apr.!H23+Apr.!F23</f>
        <v>-500</v>
      </c>
      <c r="J22" s="37">
        <f>May!F23+May!H23</f>
        <v>-500</v>
      </c>
      <c r="K22" s="37">
        <f>Jun!F23+Jun!H23</f>
        <v>-500</v>
      </c>
      <c r="L22" s="37">
        <f>Jul!F23+Jul!H23</f>
        <v>0</v>
      </c>
      <c r="M22" s="37">
        <f>Aug!F23+Aug!H23</f>
        <v>0</v>
      </c>
      <c r="N22" s="37">
        <f>Sep!F23+Sep!H23</f>
        <v>0</v>
      </c>
      <c r="O22" s="37">
        <f>Oct!F23+Oct!H23</f>
        <v>0</v>
      </c>
      <c r="P22" s="37">
        <f>Nov!F23+Nov!H23</f>
        <v>0</v>
      </c>
      <c r="Q22" s="37">
        <f>Dec!F23+Dec!H23</f>
        <v>0</v>
      </c>
      <c r="R22" s="78">
        <f t="shared" si="0"/>
        <v>-3000</v>
      </c>
      <c r="S22" t="b">
        <f>F22=January!N22</f>
        <v>1</v>
      </c>
      <c r="T22" t="b">
        <f>(G22+F22)=Feb.!N22</f>
        <v>1</v>
      </c>
      <c r="U22" t="b">
        <f>(F22+G22+H22)=Mar.!N22</f>
        <v>1</v>
      </c>
      <c r="V22" t="b">
        <f>(F22+G22+H22+I22)=Apr.!M23</f>
        <v>1</v>
      </c>
      <c r="W22">
        <v>500</v>
      </c>
    </row>
    <row r="23" spans="3:23" ht="18" x14ac:dyDescent="0.45">
      <c r="C23" s="79">
        <v>17</v>
      </c>
      <c r="D23" s="37" t="s">
        <v>60</v>
      </c>
      <c r="E23" s="41" t="s">
        <v>61</v>
      </c>
      <c r="F23" s="37">
        <f>January!K23+January!H23+January!F23</f>
        <v>0</v>
      </c>
      <c r="G23" s="37">
        <f>Feb.!F23+Feb.!H23</f>
        <v>-500</v>
      </c>
      <c r="H23" s="37">
        <f>Mar.!H23+Mar.!F23</f>
        <v>-500</v>
      </c>
      <c r="I23" s="37">
        <f>Apr.!H24+Apr.!F24</f>
        <v>-500</v>
      </c>
      <c r="J23" s="37">
        <f>May!F24+May!H24</f>
        <v>-500</v>
      </c>
      <c r="K23" s="37">
        <f>Jun!F24+Jun!H24</f>
        <v>-500</v>
      </c>
      <c r="L23" s="37">
        <f>Jul!F24+Jul!H24</f>
        <v>0</v>
      </c>
      <c r="M23" s="37">
        <f>Aug!F24+Aug!H24</f>
        <v>0</v>
      </c>
      <c r="N23" s="37">
        <f>Sep!F24+Sep!H24</f>
        <v>0</v>
      </c>
      <c r="O23" s="37">
        <f>Oct!F24+Oct!H24</f>
        <v>0</v>
      </c>
      <c r="P23" s="37">
        <f>Nov!F24+Nov!H24</f>
        <v>0</v>
      </c>
      <c r="Q23" s="37">
        <f>Dec!F24+Dec!H24</f>
        <v>0</v>
      </c>
      <c r="R23" s="78">
        <f t="shared" si="0"/>
        <v>-2500</v>
      </c>
      <c r="S23" t="b">
        <f>F23=January!N23</f>
        <v>1</v>
      </c>
      <c r="T23" t="b">
        <f>(G23+F23)=Feb.!N23</f>
        <v>1</v>
      </c>
      <c r="U23" t="b">
        <f>(F23+G23+H23)=Mar.!N23</f>
        <v>1</v>
      </c>
      <c r="V23" t="b">
        <f>(F23+G23+H23+I23)=Apr.!M24</f>
        <v>1</v>
      </c>
      <c r="W23">
        <v>-1500</v>
      </c>
    </row>
    <row r="24" spans="3:23" ht="18" x14ac:dyDescent="0.45">
      <c r="C24" s="79">
        <v>18</v>
      </c>
      <c r="D24" s="37" t="s">
        <v>181</v>
      </c>
      <c r="E24" s="41" t="s">
        <v>63</v>
      </c>
      <c r="F24" s="37">
        <f>January!K24+January!H24+January!F24</f>
        <v>-300</v>
      </c>
      <c r="G24" s="37">
        <f>Feb.!F24+Feb.!H24</f>
        <v>-300</v>
      </c>
      <c r="H24" s="37">
        <f>Mar.!H24+Mar.!F24</f>
        <v>-300</v>
      </c>
      <c r="I24" s="37">
        <f>Apr.!H25+Apr.!F25</f>
        <v>-300</v>
      </c>
      <c r="J24" s="37">
        <f>May!F25+May!H25</f>
        <v>-300</v>
      </c>
      <c r="K24" s="37">
        <f>Jun!F25+Jun!H25</f>
        <v>-300</v>
      </c>
      <c r="L24" s="37">
        <f>Jul!F25+Jul!H25</f>
        <v>0</v>
      </c>
      <c r="M24" s="37">
        <f>Aug!F25+Aug!H25</f>
        <v>0</v>
      </c>
      <c r="N24" s="37">
        <f>Sep!F25+Sep!H25</f>
        <v>0</v>
      </c>
      <c r="O24" s="37">
        <f>Oct!F25+Oct!H25</f>
        <v>0</v>
      </c>
      <c r="P24" s="37">
        <f>Nov!F25+Nov!H25</f>
        <v>0</v>
      </c>
      <c r="Q24" s="37">
        <f>Dec!F25+Dec!H25</f>
        <v>0</v>
      </c>
      <c r="R24" s="78">
        <f t="shared" si="0"/>
        <v>-1800</v>
      </c>
      <c r="S24" t="b">
        <f>F24=January!N24</f>
        <v>1</v>
      </c>
      <c r="T24" t="b">
        <f>(G24+F24)=Feb.!N24</f>
        <v>1</v>
      </c>
      <c r="U24" t="b">
        <f>(F24+G24+H24)=Mar.!N24</f>
        <v>1</v>
      </c>
      <c r="V24" t="b">
        <f>(F24+G24+H24+I24)=Apr.!M25</f>
        <v>1</v>
      </c>
      <c r="W24">
        <v>300</v>
      </c>
    </row>
    <row r="25" spans="3:23" ht="18" x14ac:dyDescent="0.45">
      <c r="C25" s="79">
        <v>19</v>
      </c>
      <c r="D25" s="37" t="s">
        <v>64</v>
      </c>
      <c r="E25" s="41" t="s">
        <v>65</v>
      </c>
      <c r="F25" s="37">
        <f>January!K25+January!H25+January!F25</f>
        <v>0</v>
      </c>
      <c r="G25" s="37">
        <f>Feb.!F25+Feb.!H25</f>
        <v>0</v>
      </c>
      <c r="H25" s="37">
        <f>Mar.!H25+Mar.!F25</f>
        <v>0</v>
      </c>
      <c r="I25" s="37">
        <f>Apr.!H26+Apr.!F26</f>
        <v>0</v>
      </c>
      <c r="J25" s="37">
        <f>May!F26+May!H26</f>
        <v>0</v>
      </c>
      <c r="K25" s="37">
        <f>Jun!F26+Jun!H26</f>
        <v>0</v>
      </c>
      <c r="L25" s="37">
        <f>Jul!F26+Jul!H26</f>
        <v>0</v>
      </c>
      <c r="M25" s="37">
        <f>Aug!F26+Aug!H26</f>
        <v>0</v>
      </c>
      <c r="N25" s="37">
        <f>Sep!F26+Sep!H26</f>
        <v>0</v>
      </c>
      <c r="O25" s="37">
        <f>Oct!F26+Oct!H26</f>
        <v>0</v>
      </c>
      <c r="P25" s="37">
        <f>Nov!F26+Nov!H26</f>
        <v>0</v>
      </c>
      <c r="Q25" s="37">
        <f>Dec!F26+Dec!H26</f>
        <v>0</v>
      </c>
      <c r="R25" s="78">
        <f t="shared" si="0"/>
        <v>0</v>
      </c>
      <c r="S25" t="b">
        <f>F25=January!N25</f>
        <v>1</v>
      </c>
      <c r="T25" t="b">
        <f>(G25+F25)=Feb.!N25</f>
        <v>1</v>
      </c>
      <c r="U25" t="b">
        <f>(F25+G25+H25)=Mar.!N25</f>
        <v>1</v>
      </c>
      <c r="V25" t="b">
        <f>(F25+G25+H25+I25)=Apr.!M26</f>
        <v>1</v>
      </c>
      <c r="W25">
        <v>0</v>
      </c>
    </row>
    <row r="26" spans="3:23" ht="18" x14ac:dyDescent="0.45">
      <c r="C26" s="79">
        <v>20</v>
      </c>
      <c r="D26" s="37" t="s">
        <v>130</v>
      </c>
      <c r="E26" s="41" t="s">
        <v>67</v>
      </c>
      <c r="F26" s="37">
        <f>January!K26+January!H26+January!F26</f>
        <v>-100</v>
      </c>
      <c r="G26" s="37">
        <f>Feb.!F26+Feb.!H26</f>
        <v>0</v>
      </c>
      <c r="H26" s="37">
        <f>Mar.!H26+Mar.!F26</f>
        <v>100</v>
      </c>
      <c r="I26" s="37">
        <f>Apr.!H27+Apr.!F27</f>
        <v>-500</v>
      </c>
      <c r="J26" s="37">
        <f>May!F27+May!H27</f>
        <v>0</v>
      </c>
      <c r="K26" s="37">
        <f>Jun!F27+Jun!H27</f>
        <v>-500</v>
      </c>
      <c r="L26" s="37">
        <f>Jul!F27+Jul!H27</f>
        <v>0</v>
      </c>
      <c r="M26" s="37">
        <f>Aug!F27+Aug!H27</f>
        <v>0</v>
      </c>
      <c r="N26" s="37">
        <f>Sep!F27+Sep!H27</f>
        <v>0</v>
      </c>
      <c r="O26" s="37">
        <f>Oct!F27+Oct!H27</f>
        <v>0</v>
      </c>
      <c r="P26" s="37">
        <f>Nov!F27+Nov!H27</f>
        <v>0</v>
      </c>
      <c r="Q26" s="37">
        <f>Dec!F27+Dec!H27</f>
        <v>0</v>
      </c>
      <c r="R26" s="78">
        <f t="shared" si="0"/>
        <v>-1000</v>
      </c>
      <c r="S26" t="b">
        <f>F26=January!N26</f>
        <v>1</v>
      </c>
      <c r="T26" t="b">
        <f>(G26+F26)=Feb.!N26</f>
        <v>1</v>
      </c>
      <c r="U26" t="b">
        <f>(F26+G26+H26)=Mar.!N26</f>
        <v>1</v>
      </c>
      <c r="V26" t="b">
        <f>(F26+G26+H26+I26)=Apr.!M27</f>
        <v>1</v>
      </c>
      <c r="W26">
        <v>-900</v>
      </c>
    </row>
    <row r="27" spans="3:23" ht="18" x14ac:dyDescent="0.45">
      <c r="C27" s="79">
        <v>21</v>
      </c>
      <c r="D27" s="37" t="s">
        <v>68</v>
      </c>
      <c r="E27" s="41" t="s">
        <v>69</v>
      </c>
      <c r="F27" s="37">
        <f>January!K27+January!H27+January!F27</f>
        <v>0</v>
      </c>
      <c r="G27" s="37">
        <f>Feb.!F27+Feb.!H27</f>
        <v>500</v>
      </c>
      <c r="H27" s="37">
        <f>Mar.!H27+Mar.!F27</f>
        <v>-500</v>
      </c>
      <c r="I27" s="37">
        <f>Apr.!H28+Apr.!F28</f>
        <v>-500</v>
      </c>
      <c r="J27" s="37">
        <f>May!F28+May!H28</f>
        <v>500</v>
      </c>
      <c r="K27" s="37">
        <f>Jun!F28+Jun!H28</f>
        <v>-500</v>
      </c>
      <c r="L27" s="37">
        <f>Jul!F28+Jul!H28</f>
        <v>0</v>
      </c>
      <c r="M27" s="37">
        <f>Aug!F28+Aug!H28</f>
        <v>0</v>
      </c>
      <c r="N27" s="37">
        <f>Sep!F28+Sep!H28</f>
        <v>0</v>
      </c>
      <c r="O27" s="37">
        <f>Oct!F28+Oct!H28</f>
        <v>0</v>
      </c>
      <c r="P27" s="37">
        <f>Nov!F28+Nov!H28</f>
        <v>0</v>
      </c>
      <c r="Q27" s="37">
        <f>Dec!F28+Dec!H28</f>
        <v>0</v>
      </c>
      <c r="R27" s="78">
        <f t="shared" si="0"/>
        <v>-500</v>
      </c>
      <c r="S27" t="b">
        <f>F27=January!N27</f>
        <v>1</v>
      </c>
      <c r="T27" t="b">
        <f>(G27+F27)=Feb.!N27</f>
        <v>1</v>
      </c>
      <c r="U27" t="b">
        <f>(F27+G27+H27)=Mar.!N27</f>
        <v>1</v>
      </c>
      <c r="V27" t="b">
        <f>(F27+G27+H27+I27)=Apr.!M28</f>
        <v>1</v>
      </c>
      <c r="W27">
        <v>-1000</v>
      </c>
    </row>
    <row r="28" spans="3:23" ht="18" x14ac:dyDescent="0.45">
      <c r="C28" s="79">
        <v>22</v>
      </c>
      <c r="D28" s="37" t="s">
        <v>70</v>
      </c>
      <c r="E28" s="41" t="s">
        <v>71</v>
      </c>
      <c r="F28" s="37">
        <f>January!K28+January!H28+January!F28</f>
        <v>0</v>
      </c>
      <c r="G28" s="37">
        <f>Feb.!F28+Feb.!H28</f>
        <v>0</v>
      </c>
      <c r="H28" s="37">
        <f>Mar.!H28+Mar.!F28</f>
        <v>0</v>
      </c>
      <c r="I28" s="37">
        <f>Apr.!H29+Apr.!F29</f>
        <v>0</v>
      </c>
      <c r="J28" s="37">
        <f>May!F29+May!H29</f>
        <v>0</v>
      </c>
      <c r="K28" s="37">
        <f>Jun!F29+Jun!H29</f>
        <v>0</v>
      </c>
      <c r="L28" s="37">
        <f>Jul!F29+Jul!H29</f>
        <v>0</v>
      </c>
      <c r="M28" s="37">
        <f>Aug!F29+Aug!H29</f>
        <v>0</v>
      </c>
      <c r="N28" s="37">
        <f>Sep!F29+Sep!H29</f>
        <v>0</v>
      </c>
      <c r="O28" s="37">
        <f>Oct!F29+Oct!H29</f>
        <v>0</v>
      </c>
      <c r="P28" s="37">
        <f>Nov!F29+Nov!H29</f>
        <v>0</v>
      </c>
      <c r="Q28" s="37">
        <f>Dec!F29+Dec!H29</f>
        <v>0</v>
      </c>
      <c r="R28" s="78">
        <f t="shared" si="0"/>
        <v>0</v>
      </c>
      <c r="S28" t="b">
        <f>F28=January!N28</f>
        <v>1</v>
      </c>
      <c r="T28" t="b">
        <f>(G28+F28)=Feb.!N28</f>
        <v>1</v>
      </c>
      <c r="U28" t="b">
        <f>(F28+G28+H28)=Mar.!N28</f>
        <v>1</v>
      </c>
      <c r="V28" t="b">
        <f>(F28+G28+H28+I28)=Apr.!M29</f>
        <v>1</v>
      </c>
      <c r="W28">
        <v>0</v>
      </c>
    </row>
    <row r="29" spans="3:23" ht="18" x14ac:dyDescent="0.45">
      <c r="C29" s="79">
        <v>23</v>
      </c>
      <c r="D29" s="37" t="s">
        <v>72</v>
      </c>
      <c r="E29" s="41" t="s">
        <v>73</v>
      </c>
      <c r="F29" s="37">
        <f>January!K29+January!H29+January!F29</f>
        <v>0</v>
      </c>
      <c r="G29" s="37">
        <f>Feb.!F29+Feb.!H29</f>
        <v>0</v>
      </c>
      <c r="H29" s="37">
        <f>Mar.!H29+Mar.!F29</f>
        <v>0</v>
      </c>
      <c r="I29" s="37">
        <f>Apr.!H30+Apr.!F30</f>
        <v>0</v>
      </c>
      <c r="J29" s="37">
        <f>May!F30+May!H30</f>
        <v>0</v>
      </c>
      <c r="K29" s="37">
        <f>Jun!F30+Jun!H30</f>
        <v>0</v>
      </c>
      <c r="L29" s="37">
        <f>Jul!F30+Jul!H30</f>
        <v>0</v>
      </c>
      <c r="M29" s="37">
        <f>Aug!F30+Aug!H30</f>
        <v>0</v>
      </c>
      <c r="N29" s="37">
        <f>Sep!F30+Sep!H30</f>
        <v>0</v>
      </c>
      <c r="O29" s="37">
        <f>Oct!F30+Oct!H30</f>
        <v>0</v>
      </c>
      <c r="P29" s="37">
        <f>Nov!F30+Nov!H30</f>
        <v>0</v>
      </c>
      <c r="Q29" s="37">
        <f>Dec!F30+Dec!H30</f>
        <v>0</v>
      </c>
      <c r="R29" s="78">
        <f t="shared" si="0"/>
        <v>0</v>
      </c>
      <c r="S29" t="b">
        <f>F29=January!N29</f>
        <v>1</v>
      </c>
      <c r="T29" t="b">
        <f>(G29+F29)=Feb.!N29</f>
        <v>1</v>
      </c>
      <c r="U29" t="b">
        <f>(F29+G29+H29)=Mar.!N29</f>
        <v>1</v>
      </c>
      <c r="V29" t="b">
        <f>(F29+G29+H29+I29)=Apr.!M30</f>
        <v>1</v>
      </c>
      <c r="W29">
        <v>-3900</v>
      </c>
    </row>
    <row r="30" spans="3:23" ht="18" x14ac:dyDescent="0.45">
      <c r="C30" s="79">
        <v>24</v>
      </c>
      <c r="D30" s="37" t="s">
        <v>74</v>
      </c>
      <c r="E30" s="41" t="s">
        <v>75</v>
      </c>
      <c r="F30" s="37">
        <f>January!K30+January!H30+January!F30</f>
        <v>0</v>
      </c>
      <c r="G30" s="37">
        <f>Feb.!F30+Feb.!H30</f>
        <v>-500</v>
      </c>
      <c r="H30" s="37">
        <f>Mar.!H30+Mar.!F30</f>
        <v>0</v>
      </c>
      <c r="I30" s="37">
        <f>Apr.!H31+Apr.!F31</f>
        <v>0</v>
      </c>
      <c r="J30" s="37">
        <f>May!F31+May!H31</f>
        <v>500</v>
      </c>
      <c r="K30" s="37">
        <f>Jun!F31+Jun!H31</f>
        <v>-500</v>
      </c>
      <c r="L30" s="37">
        <f>Jul!F31+Jul!H31</f>
        <v>0</v>
      </c>
      <c r="M30" s="37">
        <f>Aug!F31+Aug!H31</f>
        <v>0</v>
      </c>
      <c r="N30" s="37">
        <f>Sep!F31+Sep!H31</f>
        <v>0</v>
      </c>
      <c r="O30" s="37">
        <f>Oct!F31+Oct!H31</f>
        <v>0</v>
      </c>
      <c r="P30" s="37">
        <f>Nov!F31+Nov!H31</f>
        <v>0</v>
      </c>
      <c r="Q30" s="37">
        <f>Dec!F31+Dec!H31</f>
        <v>0</v>
      </c>
      <c r="R30" s="78">
        <f t="shared" si="0"/>
        <v>-500</v>
      </c>
      <c r="S30" t="b">
        <f>F30=January!N30</f>
        <v>1</v>
      </c>
      <c r="T30" t="b">
        <f>(G30+F30)=Feb.!N30</f>
        <v>1</v>
      </c>
      <c r="U30" t="b">
        <f>(F30+G30+H30)=Mar.!N30</f>
        <v>1</v>
      </c>
      <c r="V30" t="b">
        <f>(F30+G30+H30+I30)=Apr.!M31</f>
        <v>1</v>
      </c>
      <c r="W30">
        <v>-500</v>
      </c>
    </row>
    <row r="31" spans="3:23" ht="18" x14ac:dyDescent="0.45">
      <c r="C31" s="79">
        <v>25</v>
      </c>
      <c r="D31" s="37" t="s">
        <v>76</v>
      </c>
      <c r="E31" s="41" t="s">
        <v>77</v>
      </c>
      <c r="F31" s="37">
        <f>January!K31+January!H31+January!F31</f>
        <v>0</v>
      </c>
      <c r="G31" s="37">
        <f>Feb.!F31+Feb.!H31</f>
        <v>0</v>
      </c>
      <c r="H31" s="37">
        <f>Mar.!H31+Mar.!F31</f>
        <v>0</v>
      </c>
      <c r="I31" s="37">
        <f>Apr.!H32+Apr.!F32</f>
        <v>0</v>
      </c>
      <c r="J31" s="37">
        <f>May!F32+May!H32</f>
        <v>0</v>
      </c>
      <c r="K31" s="37">
        <f>Jun!F32+Jun!H32</f>
        <v>0</v>
      </c>
      <c r="L31" s="37">
        <f>Jul!F32+Jul!H32</f>
        <v>0</v>
      </c>
      <c r="M31" s="37">
        <f>Aug!F32+Aug!H32</f>
        <v>0</v>
      </c>
      <c r="N31" s="37">
        <f>Sep!F32+Sep!H32</f>
        <v>0</v>
      </c>
      <c r="O31" s="37">
        <f>Oct!F32+Oct!H32</f>
        <v>0</v>
      </c>
      <c r="P31" s="37">
        <f>Nov!F32+Nov!H32</f>
        <v>0</v>
      </c>
      <c r="Q31" s="37">
        <f>Dec!F32+Dec!H32</f>
        <v>0</v>
      </c>
      <c r="R31" s="78">
        <f t="shared" si="0"/>
        <v>0</v>
      </c>
      <c r="S31" t="b">
        <f>F31=January!N31</f>
        <v>1</v>
      </c>
      <c r="T31" t="b">
        <f>(G31+F31)=Feb.!N31</f>
        <v>1</v>
      </c>
      <c r="U31" t="b">
        <f>(F31+G31+H31)=Mar.!N31</f>
        <v>1</v>
      </c>
      <c r="V31" t="b">
        <f>(F31+G31+H31+I31)=Apr.!M32</f>
        <v>1</v>
      </c>
      <c r="W31">
        <v>0</v>
      </c>
    </row>
    <row r="32" spans="3:23" ht="18" x14ac:dyDescent="0.45">
      <c r="C32" s="79">
        <v>26</v>
      </c>
      <c r="D32" s="37" t="s">
        <v>78</v>
      </c>
      <c r="E32" s="41" t="s">
        <v>79</v>
      </c>
      <c r="F32" s="37">
        <f>January!K32+January!H32+January!F32</f>
        <v>-300</v>
      </c>
      <c r="G32" s="37">
        <f>Feb.!F32+Feb.!H32</f>
        <v>-300</v>
      </c>
      <c r="H32" s="37">
        <f>Mar.!H32+Mar.!F32</f>
        <v>-300</v>
      </c>
      <c r="I32" s="37">
        <f>Apr.!H33+Apr.!F33</f>
        <v>900</v>
      </c>
      <c r="J32" s="37">
        <f>May!F33+May!H33</f>
        <v>0</v>
      </c>
      <c r="K32" s="37">
        <f>Jun!F33+Jun!H33</f>
        <v>-300</v>
      </c>
      <c r="L32" s="37">
        <f>Jul!F33+Jul!H33</f>
        <v>0</v>
      </c>
      <c r="M32" s="37">
        <f>Aug!F33+Aug!H33</f>
        <v>0</v>
      </c>
      <c r="N32" s="37">
        <f>Sep!F33+Sep!H33</f>
        <v>0</v>
      </c>
      <c r="O32" s="37">
        <f>Oct!F33+Oct!H33</f>
        <v>0</v>
      </c>
      <c r="P32" s="37">
        <f>Nov!F33+Nov!H33</f>
        <v>0</v>
      </c>
      <c r="Q32" s="37">
        <f>Dec!F33+Dec!H33</f>
        <v>0</v>
      </c>
      <c r="R32" s="78">
        <f t="shared" si="0"/>
        <v>-300</v>
      </c>
      <c r="S32" t="b">
        <f>F32=January!N32</f>
        <v>1</v>
      </c>
      <c r="T32" t="b">
        <f>(G32+F32)=Feb.!N32</f>
        <v>1</v>
      </c>
      <c r="U32" t="b">
        <f>(F32+G32+H32)=Mar.!N32</f>
        <v>1</v>
      </c>
      <c r="V32" t="b">
        <f>(F32+G32+H32+I32)=Apr.!M33</f>
        <v>1</v>
      </c>
      <c r="W32">
        <v>-300</v>
      </c>
    </row>
    <row r="33" spans="3:22" ht="23.65" thickBot="1" x14ac:dyDescent="0.5">
      <c r="C33" s="157" t="s">
        <v>80</v>
      </c>
      <c r="D33" s="158"/>
      <c r="E33" s="159"/>
      <c r="F33" s="30">
        <f>SUM(F7:F32)</f>
        <v>-9200</v>
      </c>
      <c r="G33" s="30">
        <f t="shared" ref="G33:R33" si="1">SUM(G7:G32)</f>
        <v>-5500</v>
      </c>
      <c r="H33" s="30">
        <f t="shared" si="1"/>
        <v>1200</v>
      </c>
      <c r="I33" s="30">
        <f t="shared" si="1"/>
        <v>-2500</v>
      </c>
      <c r="J33" s="30">
        <f t="shared" si="1"/>
        <v>1800</v>
      </c>
      <c r="K33" s="30">
        <f t="shared" si="1"/>
        <v>-6000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77">
        <f t="shared" si="1"/>
        <v>0</v>
      </c>
      <c r="R33" s="30">
        <f t="shared" si="1"/>
        <v>-20200</v>
      </c>
      <c r="S33" t="b">
        <f>F33=January!N33</f>
        <v>1</v>
      </c>
      <c r="T33" t="b">
        <f>(G33+F33)=Feb.!N33</f>
        <v>1</v>
      </c>
      <c r="U33" t="b">
        <f>(F33+G33+H33)=Mar.!N33</f>
        <v>0</v>
      </c>
      <c r="V33" t="b">
        <f>(F33+G33+H33+I33)=Apr.!M35</f>
        <v>0</v>
      </c>
    </row>
    <row r="34" spans="3:22" x14ac:dyDescent="0.45"/>
    <row r="35" spans="3:22" x14ac:dyDescent="0.45">
      <c r="R35" s="31"/>
    </row>
    <row r="36" spans="3:22" ht="28.5" x14ac:dyDescent="0.85">
      <c r="F36" s="115" t="b">
        <f>F33=January!N33</f>
        <v>1</v>
      </c>
      <c r="G36" s="115" t="b">
        <f>G33+F33=Feb.!N33</f>
        <v>1</v>
      </c>
      <c r="H36" s="115" t="b">
        <f>H33+G33+F33=Mar.!N33</f>
        <v>0</v>
      </c>
      <c r="I36" s="115" t="b">
        <f>I33+H33+G33+F33=Apr.!M35</f>
        <v>0</v>
      </c>
      <c r="J36" s="115" t="b">
        <f>J33+F33+I33+H33+G33=May!M35</f>
        <v>0</v>
      </c>
      <c r="K36" s="115" t="b">
        <f>F33+G33+J33+I33+H33+K33=Jun!M35</f>
        <v>0</v>
      </c>
      <c r="L36" s="115" t="b">
        <f>G33+H33+K33+J33+I33+L33+F33=Jul!M35</f>
        <v>0</v>
      </c>
      <c r="M36" s="115" t="b">
        <f>H33+I33+L33+K33+J33+M33+G33+F33=Aug!M35</f>
        <v>0</v>
      </c>
      <c r="N36" s="115" t="b">
        <f>I33+J33+M33+L33+K33+N33+H33+F33+G33=Sep!M35</f>
        <v>0</v>
      </c>
      <c r="O36" s="115" t="b">
        <f>+F33+J33+K33+N33+M33+L33+O33+I33+G33+H33=Oct!M35</f>
        <v>0</v>
      </c>
      <c r="P36" s="115" t="b">
        <f>F33+G33+K33+L33+O33+N33+M33+P33+J33+H33+I33=Nov!M35</f>
        <v>0</v>
      </c>
      <c r="Q36" s="115" t="b">
        <f>+F33+G33+H33+L33+M33+P33+O33+N33+Q33+K33+I33+J33=Dec!M35</f>
        <v>0</v>
      </c>
      <c r="R36" s="115" t="b">
        <f>R33=Dec!M35</f>
        <v>0</v>
      </c>
    </row>
    <row r="37" spans="3:22" x14ac:dyDescent="0.45"/>
    <row r="38" spans="3:22" ht="27.75" customHeight="1" x14ac:dyDescent="0.45"/>
    <row r="39" spans="3:22" ht="21.75" customHeight="1" x14ac:dyDescent="0.45"/>
  </sheetData>
  <mergeCells count="3">
    <mergeCell ref="C33:E33"/>
    <mergeCell ref="C3:R3"/>
    <mergeCell ref="C4:R4"/>
  </mergeCells>
  <pageMargins left="0.7" right="0.7" top="0.75" bottom="0.75" header="0.3" footer="0.3"/>
  <pageSetup scale="4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D5E0-C3DD-471D-A8DF-5CB1207B25F3}">
  <sheetPr>
    <pageSetUpPr fitToPage="1"/>
  </sheetPr>
  <dimension ref="C1:AB39"/>
  <sheetViews>
    <sheetView showGridLines="0" zoomScale="66" zoomScaleNormal="90" workbookViewId="0">
      <selection activeCell="D7" sqref="D7:D32"/>
    </sheetView>
  </sheetViews>
  <sheetFormatPr defaultColWidth="0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5" width="15.59765625" style="36" customWidth="1"/>
    <col min="16" max="21" width="15.59765625" customWidth="1"/>
    <col min="22" max="22" width="14.86328125" hidden="1"/>
    <col min="23" max="23" width="15" hidden="1"/>
    <col min="24" max="24" width="45.265625" hidden="1"/>
    <col min="25" max="25" width="19" hidden="1"/>
    <col min="26" max="27" width="9.1328125" hidden="1"/>
    <col min="28" max="28" width="14.3984375" hidden="1"/>
  </cols>
  <sheetData>
    <row r="1" spans="3:18" x14ac:dyDescent="0.45"/>
    <row r="2" spans="3:18" x14ac:dyDescent="0.45"/>
    <row r="3" spans="3:18" ht="23.25" x14ac:dyDescent="0.7">
      <c r="C3" s="162" t="s">
        <v>25</v>
      </c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</row>
    <row r="4" spans="3:18" ht="23.25" x14ac:dyDescent="0.7">
      <c r="C4" s="162" t="s">
        <v>230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3:18" ht="4.5" customHeight="1" thickBot="1" x14ac:dyDescent="0.5"/>
    <row r="6" spans="3:18" ht="34.9" customHeight="1" thickBot="1" x14ac:dyDescent="0.5">
      <c r="C6" s="27" t="s">
        <v>16</v>
      </c>
      <c r="D6" s="28" t="s">
        <v>26</v>
      </c>
      <c r="E6" s="29" t="s">
        <v>27</v>
      </c>
      <c r="F6" s="113" t="s">
        <v>0</v>
      </c>
      <c r="G6" s="113" t="s">
        <v>1</v>
      </c>
      <c r="H6" s="113" t="s">
        <v>2</v>
      </c>
      <c r="I6" s="113" t="s">
        <v>3</v>
      </c>
      <c r="J6" s="113" t="s">
        <v>166</v>
      </c>
      <c r="K6" s="113" t="s">
        <v>167</v>
      </c>
      <c r="L6" s="113" t="s">
        <v>175</v>
      </c>
      <c r="M6" s="113" t="s">
        <v>176</v>
      </c>
      <c r="N6" s="113" t="s">
        <v>177</v>
      </c>
      <c r="O6" s="113" t="s">
        <v>178</v>
      </c>
      <c r="P6" s="113" t="s">
        <v>179</v>
      </c>
      <c r="Q6" s="113" t="s">
        <v>180</v>
      </c>
      <c r="R6" s="43" t="s">
        <v>28</v>
      </c>
    </row>
    <row r="7" spans="3:18" ht="18" x14ac:dyDescent="0.45">
      <c r="C7" s="79">
        <v>1</v>
      </c>
      <c r="D7" s="37" t="s">
        <v>29</v>
      </c>
      <c r="E7" s="40" t="s">
        <v>30</v>
      </c>
      <c r="F7" s="37">
        <f>January!G7+January!I7+January!L7</f>
        <v>0</v>
      </c>
      <c r="G7" s="37">
        <f>Feb.!G7+Feb.!I7</f>
        <v>0</v>
      </c>
      <c r="H7" s="37">
        <f>Mar.!G7+Mar.!I7</f>
        <v>0</v>
      </c>
      <c r="I7" s="37">
        <f>Apr.!G8+Apr.!I8</f>
        <v>0</v>
      </c>
      <c r="J7" s="37">
        <f>May!G8+May!I8</f>
        <v>0</v>
      </c>
      <c r="K7" s="37">
        <f>Jun!G8+Jun!I8</f>
        <v>0</v>
      </c>
      <c r="L7" s="37">
        <f>Jul!G8+Jul!I8</f>
        <v>0</v>
      </c>
      <c r="M7" s="37">
        <f>Aug!G8+Aug!I8</f>
        <v>0</v>
      </c>
      <c r="N7" s="37">
        <f>Sep!G8+Sep!I8</f>
        <v>0</v>
      </c>
      <c r="O7" s="37">
        <f>Oct!G8+Oct!I8</f>
        <v>0</v>
      </c>
      <c r="P7" s="37">
        <f>Nov!G8+Nov!I8</f>
        <v>0</v>
      </c>
      <c r="Q7" s="37">
        <f>Dec!G8+Dec!I8</f>
        <v>0</v>
      </c>
      <c r="R7" s="37">
        <f>SUM(F7:Q7)</f>
        <v>0</v>
      </c>
    </row>
    <row r="8" spans="3:18" ht="18" x14ac:dyDescent="0.45">
      <c r="C8" s="79">
        <v>2</v>
      </c>
      <c r="D8" s="37" t="s">
        <v>194</v>
      </c>
      <c r="E8" s="40" t="s">
        <v>31</v>
      </c>
      <c r="F8" s="37">
        <f>January!G8+January!I8+January!L8</f>
        <v>0</v>
      </c>
      <c r="G8" s="37">
        <f>Feb.!G8+Feb.!I8</f>
        <v>0</v>
      </c>
      <c r="H8" s="37">
        <f>Mar.!G8+Mar.!I8</f>
        <v>0</v>
      </c>
      <c r="I8" s="37">
        <f>Apr.!G9+Apr.!I9</f>
        <v>0</v>
      </c>
      <c r="J8" s="37">
        <f>May!G9+May!I9</f>
        <v>0</v>
      </c>
      <c r="K8" s="37">
        <f>Jun!G9+Jun!I9</f>
        <v>0</v>
      </c>
      <c r="L8" s="37">
        <f>Jul!G9+Jul!I9</f>
        <v>0</v>
      </c>
      <c r="M8" s="37">
        <f>Aug!G9+Aug!I9</f>
        <v>0</v>
      </c>
      <c r="N8" s="37">
        <f>Sep!G9+Sep!I9</f>
        <v>0</v>
      </c>
      <c r="O8" s="37">
        <f>Oct!G9+Oct!I9</f>
        <v>0</v>
      </c>
      <c r="P8" s="37">
        <f>Nov!G9+Nov!I9</f>
        <v>0</v>
      </c>
      <c r="Q8" s="37">
        <f>Dec!G9+Dec!I9</f>
        <v>0</v>
      </c>
      <c r="R8" s="37">
        <f t="shared" ref="R8:R32" si="0">SUM(F8:Q8)</f>
        <v>0</v>
      </c>
    </row>
    <row r="9" spans="3:18" ht="18" x14ac:dyDescent="0.45">
      <c r="C9" s="79">
        <v>3</v>
      </c>
      <c r="D9" s="37" t="s">
        <v>32</v>
      </c>
      <c r="E9" s="40" t="s">
        <v>33</v>
      </c>
      <c r="F9" s="37">
        <f>January!G9+January!I9+January!L9</f>
        <v>0</v>
      </c>
      <c r="G9" s="37">
        <f>Feb.!G9+Feb.!I9</f>
        <v>0</v>
      </c>
      <c r="H9" s="37">
        <f>Mar.!G9+Mar.!I9</f>
        <v>0</v>
      </c>
      <c r="I9" s="37">
        <f>Apr.!G10+Apr.!I10</f>
        <v>0</v>
      </c>
      <c r="J9" s="37">
        <f>May!G10+May!I10</f>
        <v>0</v>
      </c>
      <c r="K9" s="37">
        <f>Jun!G10+Jun!I10</f>
        <v>0</v>
      </c>
      <c r="L9" s="37">
        <f>Jul!G10+Jul!I10</f>
        <v>0</v>
      </c>
      <c r="M9" s="37">
        <f>Aug!G10+Aug!I10</f>
        <v>0</v>
      </c>
      <c r="N9" s="37">
        <f>Sep!G10+Sep!I10</f>
        <v>0</v>
      </c>
      <c r="O9" s="37">
        <f>Oct!G10+Oct!I10</f>
        <v>0</v>
      </c>
      <c r="P9" s="37">
        <f>Nov!G10+Nov!I10</f>
        <v>0</v>
      </c>
      <c r="Q9" s="37">
        <f>Dec!G10+Dec!I10</f>
        <v>0</v>
      </c>
      <c r="R9" s="37">
        <f t="shared" si="0"/>
        <v>0</v>
      </c>
    </row>
    <row r="10" spans="3:18" ht="18" x14ac:dyDescent="0.45">
      <c r="C10" s="79">
        <v>4</v>
      </c>
      <c r="D10" s="37" t="s">
        <v>34</v>
      </c>
      <c r="E10" s="40" t="s">
        <v>35</v>
      </c>
      <c r="F10" s="37">
        <f>January!G10+January!I10+January!L10</f>
        <v>0</v>
      </c>
      <c r="G10" s="37">
        <f>Feb.!G10+Feb.!I10</f>
        <v>0</v>
      </c>
      <c r="H10" s="37">
        <f>Mar.!G10+Mar.!I10</f>
        <v>0</v>
      </c>
      <c r="I10" s="37">
        <f>Apr.!G11+Apr.!I11</f>
        <v>0</v>
      </c>
      <c r="J10" s="37">
        <f>May!G11+May!I11</f>
        <v>0</v>
      </c>
      <c r="K10" s="37">
        <f>Jun!G11+Jun!I11</f>
        <v>0</v>
      </c>
      <c r="L10" s="37">
        <f>Jul!G11+Jul!I11</f>
        <v>0</v>
      </c>
      <c r="M10" s="37">
        <f>Aug!G11+Aug!I11</f>
        <v>0</v>
      </c>
      <c r="N10" s="37">
        <f>Sep!G11+Sep!I11</f>
        <v>0</v>
      </c>
      <c r="O10" s="37">
        <f>Oct!G11+Oct!I11</f>
        <v>0</v>
      </c>
      <c r="P10" s="37">
        <f>Nov!G11+Nov!I11</f>
        <v>0</v>
      </c>
      <c r="Q10" s="37">
        <f>Dec!G11+Dec!I11</f>
        <v>0</v>
      </c>
      <c r="R10" s="37">
        <f t="shared" si="0"/>
        <v>0</v>
      </c>
    </row>
    <row r="11" spans="3:18" ht="18" x14ac:dyDescent="0.45">
      <c r="C11" s="79">
        <v>5</v>
      </c>
      <c r="D11" s="37" t="s">
        <v>36</v>
      </c>
      <c r="E11" s="40" t="s">
        <v>37</v>
      </c>
      <c r="F11" s="37">
        <f>January!G11+January!I11+January!L11</f>
        <v>0</v>
      </c>
      <c r="G11" s="37">
        <f>Feb.!G11+Feb.!I11</f>
        <v>0</v>
      </c>
      <c r="H11" s="37">
        <f>Mar.!G11+Mar.!I11</f>
        <v>100</v>
      </c>
      <c r="I11" s="37">
        <f>Apr.!G12+Apr.!I12</f>
        <v>0</v>
      </c>
      <c r="J11" s="37">
        <f>May!G12+May!I12</f>
        <v>0</v>
      </c>
      <c r="K11" s="37">
        <f>Jun!G12+Jun!I12</f>
        <v>0</v>
      </c>
      <c r="L11" s="37">
        <f>Jul!G12+Jul!I12</f>
        <v>0</v>
      </c>
      <c r="M11" s="37">
        <f>Aug!G12+Aug!I12</f>
        <v>0</v>
      </c>
      <c r="N11" s="37">
        <f>Sep!G12+Sep!I12</f>
        <v>0</v>
      </c>
      <c r="O11" s="37">
        <f>Oct!G12+Oct!I12</f>
        <v>0</v>
      </c>
      <c r="P11" s="37">
        <f>Nov!G12+Nov!I12</f>
        <v>0</v>
      </c>
      <c r="Q11" s="37">
        <f>Dec!G12+Dec!I12</f>
        <v>0</v>
      </c>
      <c r="R11" s="37">
        <f t="shared" si="0"/>
        <v>100</v>
      </c>
    </row>
    <row r="12" spans="3:18" ht="18" x14ac:dyDescent="0.45">
      <c r="C12" s="79">
        <v>6</v>
      </c>
      <c r="D12" s="37" t="s">
        <v>38</v>
      </c>
      <c r="E12" s="40" t="s">
        <v>39</v>
      </c>
      <c r="F12" s="37">
        <f>January!G12+January!I12+January!L12</f>
        <v>0</v>
      </c>
      <c r="G12" s="37">
        <f>Feb.!G12+Feb.!I12</f>
        <v>0</v>
      </c>
      <c r="H12" s="37">
        <f>Mar.!G12+Mar.!I12</f>
        <v>0</v>
      </c>
      <c r="I12" s="37">
        <f>Apr.!G13+Apr.!I13</f>
        <v>0</v>
      </c>
      <c r="J12" s="37">
        <f>May!G13+May!I13</f>
        <v>0</v>
      </c>
      <c r="K12" s="37">
        <f>Jun!G13+Jun!I13</f>
        <v>0</v>
      </c>
      <c r="L12" s="37">
        <f>Jul!G13+Jul!I13</f>
        <v>0</v>
      </c>
      <c r="M12" s="37">
        <f>Aug!G13+Aug!I13</f>
        <v>0</v>
      </c>
      <c r="N12" s="37">
        <f>Sep!G13+Sep!I13</f>
        <v>0</v>
      </c>
      <c r="O12" s="37">
        <f>Oct!G13+Oct!I13</f>
        <v>0</v>
      </c>
      <c r="P12" s="37">
        <f>Nov!G13+Nov!I13</f>
        <v>0</v>
      </c>
      <c r="Q12" s="37">
        <f>Dec!G13+Dec!I13</f>
        <v>0</v>
      </c>
      <c r="R12" s="37">
        <f t="shared" si="0"/>
        <v>0</v>
      </c>
    </row>
    <row r="13" spans="3:18" ht="18" x14ac:dyDescent="0.45">
      <c r="C13" s="79">
        <v>7</v>
      </c>
      <c r="D13" s="37" t="s">
        <v>40</v>
      </c>
      <c r="E13" s="40" t="s">
        <v>41</v>
      </c>
      <c r="F13" s="37">
        <f>January!G13+January!I13+January!L13</f>
        <v>0</v>
      </c>
      <c r="G13" s="37">
        <f>Feb.!G13+Feb.!I13</f>
        <v>0</v>
      </c>
      <c r="H13" s="37">
        <f>Mar.!G13+Mar.!I13</f>
        <v>0</v>
      </c>
      <c r="I13" s="37">
        <f>Apr.!G14+Apr.!I14</f>
        <v>0</v>
      </c>
      <c r="J13" s="37">
        <f>May!G14+May!I14</f>
        <v>0</v>
      </c>
      <c r="K13" s="37">
        <f>Jun!G14+Jun!I14</f>
        <v>0</v>
      </c>
      <c r="L13" s="37">
        <f>Jul!G14+Jul!I14</f>
        <v>0</v>
      </c>
      <c r="M13" s="37">
        <f>Aug!G14+Aug!I14</f>
        <v>0</v>
      </c>
      <c r="N13" s="37">
        <f>Sep!G14+Sep!I14</f>
        <v>0</v>
      </c>
      <c r="O13" s="37">
        <f>Oct!G14+Oct!I14</f>
        <v>0</v>
      </c>
      <c r="P13" s="37">
        <f>Nov!G14+Nov!I14</f>
        <v>0</v>
      </c>
      <c r="Q13" s="37">
        <f>Dec!G14+Dec!I14</f>
        <v>0</v>
      </c>
      <c r="R13" s="37">
        <f t="shared" si="0"/>
        <v>0</v>
      </c>
    </row>
    <row r="14" spans="3:18" ht="18" x14ac:dyDescent="0.45">
      <c r="C14" s="79">
        <v>8</v>
      </c>
      <c r="D14" s="37" t="s">
        <v>42</v>
      </c>
      <c r="E14" s="41" t="s">
        <v>43</v>
      </c>
      <c r="F14" s="37">
        <f>January!G14+January!I14+January!L14</f>
        <v>0</v>
      </c>
      <c r="G14" s="37">
        <f>Feb.!G14+Feb.!I14</f>
        <v>0</v>
      </c>
      <c r="H14" s="37">
        <f>Mar.!G14+Mar.!I14</f>
        <v>0</v>
      </c>
      <c r="I14" s="37">
        <f>Apr.!G15+Apr.!I15</f>
        <v>0</v>
      </c>
      <c r="J14" s="37">
        <f>May!G15+May!I15</f>
        <v>0</v>
      </c>
      <c r="K14" s="37">
        <f>Jun!G15+Jun!I15</f>
        <v>0</v>
      </c>
      <c r="L14" s="37">
        <f>Jul!G15+Jul!I15</f>
        <v>0</v>
      </c>
      <c r="M14" s="37">
        <f>Aug!G15+Aug!I15</f>
        <v>0</v>
      </c>
      <c r="N14" s="37">
        <f>Sep!G15+Sep!I15</f>
        <v>0</v>
      </c>
      <c r="O14" s="37">
        <f>Oct!G15+Oct!I15</f>
        <v>0</v>
      </c>
      <c r="P14" s="37">
        <f>Nov!G15+Nov!I15</f>
        <v>0</v>
      </c>
      <c r="Q14" s="37">
        <f>Dec!G15+Dec!I15</f>
        <v>0</v>
      </c>
      <c r="R14" s="37">
        <f t="shared" si="0"/>
        <v>0</v>
      </c>
    </row>
    <row r="15" spans="3:18" ht="18" x14ac:dyDescent="0.45">
      <c r="C15" s="79">
        <v>9</v>
      </c>
      <c r="D15" s="37" t="s">
        <v>44</v>
      </c>
      <c r="E15" s="41" t="s">
        <v>45</v>
      </c>
      <c r="F15" s="37">
        <f>January!G15+January!I15+January!L15</f>
        <v>0</v>
      </c>
      <c r="G15" s="37">
        <f>Feb.!G15+Feb.!I15</f>
        <v>0</v>
      </c>
      <c r="H15" s="37">
        <f>Mar.!G15+Mar.!I15</f>
        <v>0</v>
      </c>
      <c r="I15" s="37">
        <f>Apr.!G16+Apr.!I16</f>
        <v>0</v>
      </c>
      <c r="J15" s="37">
        <f>May!G16+May!I16</f>
        <v>0</v>
      </c>
      <c r="K15" s="37">
        <f>Jun!G16+Jun!I16</f>
        <v>0</v>
      </c>
      <c r="L15" s="37">
        <f>Jul!G16+Jul!I16</f>
        <v>0</v>
      </c>
      <c r="M15" s="37">
        <f>Aug!G16+Aug!I16</f>
        <v>0</v>
      </c>
      <c r="N15" s="37">
        <f>Sep!G16+Sep!I16</f>
        <v>0</v>
      </c>
      <c r="O15" s="37">
        <f>Oct!G16+Oct!I16</f>
        <v>0</v>
      </c>
      <c r="P15" s="37">
        <f>Nov!G16+Nov!I16</f>
        <v>0</v>
      </c>
      <c r="Q15" s="37">
        <f>Dec!G16+Dec!I16</f>
        <v>0</v>
      </c>
      <c r="R15" s="37">
        <f t="shared" si="0"/>
        <v>0</v>
      </c>
    </row>
    <row r="16" spans="3:18" ht="18" x14ac:dyDescent="0.45">
      <c r="C16" s="79">
        <v>10</v>
      </c>
      <c r="D16" s="37" t="s">
        <v>46</v>
      </c>
      <c r="E16" s="41" t="s">
        <v>47</v>
      </c>
      <c r="F16" s="37">
        <f>January!G16+January!I16+January!L16</f>
        <v>-100</v>
      </c>
      <c r="G16" s="37">
        <f>Feb.!G16+Feb.!I16</f>
        <v>-100</v>
      </c>
      <c r="H16" s="37">
        <f>Mar.!G16+Mar.!I16</f>
        <v>100</v>
      </c>
      <c r="I16" s="37">
        <f>Apr.!G17+Apr.!I17</f>
        <v>100</v>
      </c>
      <c r="J16" s="37">
        <f>May!G17+May!I17</f>
        <v>-100</v>
      </c>
      <c r="K16" s="37">
        <f>Jun!G17+Jun!I17</f>
        <v>-100</v>
      </c>
      <c r="L16" s="37">
        <f>Jul!G17+Jul!I17</f>
        <v>0</v>
      </c>
      <c r="M16" s="37">
        <f>Aug!G17+Aug!I17</f>
        <v>0</v>
      </c>
      <c r="N16" s="37">
        <f>Sep!G17+Sep!I17</f>
        <v>0</v>
      </c>
      <c r="O16" s="37">
        <f>Oct!G17+Oct!I17</f>
        <v>0</v>
      </c>
      <c r="P16" s="37">
        <f>Nov!G17+Nov!I17</f>
        <v>0</v>
      </c>
      <c r="Q16" s="37">
        <f>Dec!G17+Dec!I17</f>
        <v>0</v>
      </c>
      <c r="R16" s="37">
        <f t="shared" si="0"/>
        <v>-200</v>
      </c>
    </row>
    <row r="17" spans="3:18" ht="18" x14ac:dyDescent="0.45">
      <c r="C17" s="79">
        <v>11</v>
      </c>
      <c r="D17" s="37" t="s">
        <v>48</v>
      </c>
      <c r="E17" s="41" t="s">
        <v>49</v>
      </c>
      <c r="F17" s="37">
        <f>January!G17+January!I17+January!L17</f>
        <v>-200</v>
      </c>
      <c r="G17" s="37">
        <f>Feb.!G17+Feb.!I17</f>
        <v>-100</v>
      </c>
      <c r="H17" s="37">
        <f>Mar.!G17+Mar.!I17</f>
        <v>300</v>
      </c>
      <c r="I17" s="37">
        <f>Apr.!G18+Apr.!I18</f>
        <v>-100</v>
      </c>
      <c r="J17" s="37">
        <f>May!G18+May!I18</f>
        <v>-100</v>
      </c>
      <c r="K17" s="37">
        <f>Jun!G18+Jun!I18</f>
        <v>100</v>
      </c>
      <c r="L17" s="37">
        <f>Jul!G18+Jul!I18</f>
        <v>0</v>
      </c>
      <c r="M17" s="37">
        <f>Aug!G18+Aug!I18</f>
        <v>0</v>
      </c>
      <c r="N17" s="37">
        <f>Sep!G18+Sep!I18</f>
        <v>0</v>
      </c>
      <c r="O17" s="37">
        <f>Oct!G18+Oct!I18</f>
        <v>0</v>
      </c>
      <c r="P17" s="37">
        <f>Nov!G18+Nov!I18</f>
        <v>0</v>
      </c>
      <c r="Q17" s="37">
        <f>Dec!G18+Dec!I18</f>
        <v>0</v>
      </c>
      <c r="R17" s="37">
        <f t="shared" si="0"/>
        <v>-100</v>
      </c>
    </row>
    <row r="18" spans="3:18" ht="18" x14ac:dyDescent="0.45">
      <c r="C18" s="79">
        <v>12</v>
      </c>
      <c r="D18" s="37" t="s">
        <v>50</v>
      </c>
      <c r="E18" s="41" t="s">
        <v>51</v>
      </c>
      <c r="F18" s="37">
        <f>January!G18+January!I18+January!L18</f>
        <v>0</v>
      </c>
      <c r="G18" s="37">
        <f>Feb.!G18+Feb.!I18</f>
        <v>0</v>
      </c>
      <c r="H18" s="37">
        <f>Mar.!G18+Mar.!I18</f>
        <v>0</v>
      </c>
      <c r="I18" s="37">
        <f>Apr.!G19+Apr.!I19</f>
        <v>0</v>
      </c>
      <c r="J18" s="37">
        <f>May!G19+May!I19</f>
        <v>0</v>
      </c>
      <c r="K18" s="37">
        <f>Jun!G19+Jun!I19</f>
        <v>0</v>
      </c>
      <c r="L18" s="37">
        <f>Jul!G19+Jul!I19</f>
        <v>0</v>
      </c>
      <c r="M18" s="37">
        <f>Aug!G19+Aug!I19</f>
        <v>0</v>
      </c>
      <c r="N18" s="37">
        <f>Sep!G19+Sep!I19</f>
        <v>0</v>
      </c>
      <c r="O18" s="37">
        <f>Oct!G19+Oct!I19</f>
        <v>0</v>
      </c>
      <c r="P18" s="37">
        <f>Nov!G19+Nov!I19</f>
        <v>0</v>
      </c>
      <c r="Q18" s="37">
        <f>Dec!G19+Dec!I19</f>
        <v>0</v>
      </c>
      <c r="R18" s="37">
        <f t="shared" si="0"/>
        <v>0</v>
      </c>
    </row>
    <row r="19" spans="3:18" ht="18" x14ac:dyDescent="0.45">
      <c r="C19" s="79">
        <v>13</v>
      </c>
      <c r="D19" s="37" t="s">
        <v>52</v>
      </c>
      <c r="E19" s="41" t="s">
        <v>53</v>
      </c>
      <c r="F19" s="37">
        <f>January!G19+January!I19+January!L19</f>
        <v>900</v>
      </c>
      <c r="G19" s="37">
        <f>Feb.!G19+Feb.!I19</f>
        <v>-100</v>
      </c>
      <c r="H19" s="37">
        <f>Mar.!G19+Mar.!I19</f>
        <v>-100</v>
      </c>
      <c r="I19" s="37">
        <f>Apr.!G20+Apr.!I20</f>
        <v>-100</v>
      </c>
      <c r="J19" s="37">
        <f>May!G20+May!I20</f>
        <v>-100</v>
      </c>
      <c r="K19" s="37">
        <f>Jun!G20+Jun!I20</f>
        <v>-100</v>
      </c>
      <c r="L19" s="37">
        <f>Jul!G20+Jul!I20</f>
        <v>0</v>
      </c>
      <c r="M19" s="37">
        <f>Aug!G20+Aug!I20</f>
        <v>0</v>
      </c>
      <c r="N19" s="37">
        <f>Sep!G20+Sep!I20</f>
        <v>0</v>
      </c>
      <c r="O19" s="37">
        <f>Oct!G20+Oct!I20</f>
        <v>0</v>
      </c>
      <c r="P19" s="37">
        <f>Nov!G20+Nov!I20</f>
        <v>0</v>
      </c>
      <c r="Q19" s="37">
        <f>Dec!G20+Dec!I20</f>
        <v>0</v>
      </c>
      <c r="R19" s="37">
        <f t="shared" si="0"/>
        <v>400</v>
      </c>
    </row>
    <row r="20" spans="3:18" ht="18" x14ac:dyDescent="0.45">
      <c r="C20" s="79">
        <v>14</v>
      </c>
      <c r="D20" s="37" t="s">
        <v>169</v>
      </c>
      <c r="E20" s="41" t="s">
        <v>55</v>
      </c>
      <c r="F20" s="37">
        <f>January!G20+January!I20+January!L20</f>
        <v>0</v>
      </c>
      <c r="G20" s="37">
        <f>Feb.!G20+Feb.!I20</f>
        <v>-100</v>
      </c>
      <c r="H20" s="37">
        <f>Mar.!G20+Mar.!I20</f>
        <v>100</v>
      </c>
      <c r="I20" s="37">
        <f>Apr.!G21+Apr.!I21</f>
        <v>0</v>
      </c>
      <c r="J20" s="37">
        <f>May!G21+May!I21</f>
        <v>0</v>
      </c>
      <c r="K20" s="37">
        <f>Jun!G21+Jun!I21</f>
        <v>-100</v>
      </c>
      <c r="L20" s="37">
        <f>Jul!G21+Jul!I21</f>
        <v>0</v>
      </c>
      <c r="M20" s="37">
        <f>Aug!G21+Aug!I21</f>
        <v>0</v>
      </c>
      <c r="N20" s="37">
        <f>Sep!G21+Sep!I21</f>
        <v>0</v>
      </c>
      <c r="O20" s="37">
        <f>Oct!G21+Oct!I21</f>
        <v>0</v>
      </c>
      <c r="P20" s="37">
        <f>Nov!G21+Nov!I21</f>
        <v>0</v>
      </c>
      <c r="Q20" s="37">
        <f>Dec!G21+Dec!I21</f>
        <v>0</v>
      </c>
      <c r="R20" s="37">
        <f t="shared" si="0"/>
        <v>-100</v>
      </c>
    </row>
    <row r="21" spans="3:18" ht="18" x14ac:dyDescent="0.45">
      <c r="C21" s="79">
        <v>15</v>
      </c>
      <c r="D21" s="37" t="s">
        <v>56</v>
      </c>
      <c r="E21" s="41" t="s">
        <v>57</v>
      </c>
      <c r="F21" s="37">
        <f>January!G21+January!I21+January!L21</f>
        <v>-1600</v>
      </c>
      <c r="G21" s="37">
        <f>Feb.!G21+Feb.!I21</f>
        <v>-100</v>
      </c>
      <c r="H21" s="37">
        <f>Mar.!G21+Mar.!I21</f>
        <v>-100</v>
      </c>
      <c r="I21" s="37">
        <f>Apr.!G22+Apr.!I22</f>
        <v>0</v>
      </c>
      <c r="J21" s="37">
        <f>May!G22+May!I22</f>
        <v>0</v>
      </c>
      <c r="K21" s="37">
        <f>Jun!G22+Jun!I22</f>
        <v>-100</v>
      </c>
      <c r="L21" s="37">
        <f>Jul!G22+Jul!I22</f>
        <v>0</v>
      </c>
      <c r="M21" s="37">
        <f>Aug!G22+Aug!I22</f>
        <v>0</v>
      </c>
      <c r="N21" s="37">
        <f>Sep!G22+Sep!I22</f>
        <v>0</v>
      </c>
      <c r="O21" s="37">
        <f>Oct!G22+Oct!I22</f>
        <v>0</v>
      </c>
      <c r="P21" s="37">
        <f>Nov!G22+Nov!I22</f>
        <v>0</v>
      </c>
      <c r="Q21" s="37">
        <f>Dec!G22+Dec!I22</f>
        <v>0</v>
      </c>
      <c r="R21" s="37">
        <f t="shared" si="0"/>
        <v>-1900</v>
      </c>
    </row>
    <row r="22" spans="3:18" ht="25.5" customHeight="1" x14ac:dyDescent="0.45">
      <c r="C22" s="79">
        <v>16</v>
      </c>
      <c r="D22" s="37" t="s">
        <v>58</v>
      </c>
      <c r="E22" s="41" t="s">
        <v>59</v>
      </c>
      <c r="F22" s="37">
        <f>January!G22+January!I22+January!L22</f>
        <v>-100</v>
      </c>
      <c r="G22" s="37">
        <f>Feb.!G22+Feb.!I22</f>
        <v>-100</v>
      </c>
      <c r="H22" s="37">
        <f>Mar.!G22+Mar.!I22</f>
        <v>-100</v>
      </c>
      <c r="I22" s="37">
        <f>Apr.!G23+Apr.!I23</f>
        <v>-100</v>
      </c>
      <c r="J22" s="37">
        <f>May!G23+May!I23</f>
        <v>-100</v>
      </c>
      <c r="K22" s="37">
        <f>Jun!G23+Jun!I23</f>
        <v>-100</v>
      </c>
      <c r="L22" s="37">
        <f>Jul!G23+Jul!I23</f>
        <v>0</v>
      </c>
      <c r="M22" s="37">
        <f>Aug!G23+Aug!I23</f>
        <v>0</v>
      </c>
      <c r="N22" s="37">
        <f>Sep!G23+Sep!I23</f>
        <v>0</v>
      </c>
      <c r="O22" s="37">
        <f>Oct!G23+Oct!I23</f>
        <v>0</v>
      </c>
      <c r="P22" s="37">
        <f>Nov!G23+Nov!I23</f>
        <v>0</v>
      </c>
      <c r="Q22" s="37">
        <f>Dec!G23+Dec!I23</f>
        <v>0</v>
      </c>
      <c r="R22" s="37">
        <f t="shared" si="0"/>
        <v>-600</v>
      </c>
    </row>
    <row r="23" spans="3:18" ht="18" x14ac:dyDescent="0.45">
      <c r="C23" s="79">
        <v>17</v>
      </c>
      <c r="D23" s="37" t="s">
        <v>60</v>
      </c>
      <c r="E23" s="41" t="s">
        <v>61</v>
      </c>
      <c r="F23" s="37">
        <f>January!G23+January!I23+January!L23</f>
        <v>0</v>
      </c>
      <c r="G23" s="37">
        <f>Feb.!G23+Feb.!I23</f>
        <v>-100</v>
      </c>
      <c r="H23" s="37">
        <f>Mar.!G23+Mar.!I23</f>
        <v>-100</v>
      </c>
      <c r="I23" s="37">
        <f>Apr.!G24+Apr.!I24</f>
        <v>-100</v>
      </c>
      <c r="J23" s="37">
        <f>May!G24+May!I24</f>
        <v>-100</v>
      </c>
      <c r="K23" s="37">
        <f>Jun!G24+Jun!I24</f>
        <v>-100</v>
      </c>
      <c r="L23" s="37">
        <f>Jul!G24+Jul!I24</f>
        <v>0</v>
      </c>
      <c r="M23" s="37">
        <f>Aug!G24+Aug!I24</f>
        <v>0</v>
      </c>
      <c r="N23" s="37">
        <f>Sep!G24+Sep!I24</f>
        <v>0</v>
      </c>
      <c r="O23" s="37">
        <f>Oct!G24+Oct!I24</f>
        <v>0</v>
      </c>
      <c r="P23" s="37">
        <f>Nov!G24+Nov!I24</f>
        <v>0</v>
      </c>
      <c r="Q23" s="37">
        <f>Dec!G24+Dec!I24</f>
        <v>0</v>
      </c>
      <c r="R23" s="37">
        <f t="shared" si="0"/>
        <v>-500</v>
      </c>
    </row>
    <row r="24" spans="3:18" ht="18" x14ac:dyDescent="0.45">
      <c r="C24" s="79">
        <v>18</v>
      </c>
      <c r="D24" s="37" t="s">
        <v>181</v>
      </c>
      <c r="E24" s="41" t="s">
        <v>63</v>
      </c>
      <c r="F24" s="37">
        <f>January!G24+January!I24+January!L24</f>
        <v>0</v>
      </c>
      <c r="G24" s="37">
        <f>Feb.!G24+Feb.!I24</f>
        <v>0</v>
      </c>
      <c r="H24" s="37">
        <f>Mar.!G24+Mar.!I24</f>
        <v>0</v>
      </c>
      <c r="I24" s="37">
        <f>Apr.!G25+Apr.!I25</f>
        <v>0</v>
      </c>
      <c r="J24" s="37">
        <f>May!G25+May!I25</f>
        <v>0</v>
      </c>
      <c r="K24" s="37">
        <f>Jun!G25+Jun!I25</f>
        <v>0</v>
      </c>
      <c r="L24" s="37">
        <f>Jul!G25+Jul!I25</f>
        <v>0</v>
      </c>
      <c r="M24" s="37">
        <f>Aug!G25+Aug!I25</f>
        <v>0</v>
      </c>
      <c r="N24" s="37">
        <f>Sep!G25+Sep!I25</f>
        <v>0</v>
      </c>
      <c r="O24" s="37">
        <f>Oct!G25+Oct!I25</f>
        <v>0</v>
      </c>
      <c r="P24" s="37">
        <f>Nov!G25+Nov!I25</f>
        <v>0</v>
      </c>
      <c r="Q24" s="37">
        <f>Dec!G25+Dec!I25</f>
        <v>0</v>
      </c>
      <c r="R24" s="37">
        <f t="shared" si="0"/>
        <v>0</v>
      </c>
    </row>
    <row r="25" spans="3:18" ht="18" x14ac:dyDescent="0.45">
      <c r="C25" s="79">
        <v>19</v>
      </c>
      <c r="D25" s="37" t="s">
        <v>64</v>
      </c>
      <c r="E25" s="41" t="s">
        <v>65</v>
      </c>
      <c r="F25" s="37">
        <f>January!G25+January!I25+January!L25</f>
        <v>0</v>
      </c>
      <c r="G25" s="37">
        <f>Feb.!G25+Feb.!I25</f>
        <v>0</v>
      </c>
      <c r="H25" s="37">
        <f>Mar.!G25+Mar.!I25</f>
        <v>0</v>
      </c>
      <c r="I25" s="37">
        <f>Apr.!G26+Apr.!I26</f>
        <v>0</v>
      </c>
      <c r="J25" s="37">
        <f>May!G26+May!I26</f>
        <v>0</v>
      </c>
      <c r="K25" s="37">
        <f>Jun!G26+Jun!I26</f>
        <v>0</v>
      </c>
      <c r="L25" s="37">
        <f>Jul!G26+Jul!I26</f>
        <v>0</v>
      </c>
      <c r="M25" s="37">
        <f>Aug!G26+Aug!I26</f>
        <v>0</v>
      </c>
      <c r="N25" s="37">
        <f>Sep!G26+Sep!I26</f>
        <v>0</v>
      </c>
      <c r="O25" s="37">
        <f>Oct!G26+Oct!I26</f>
        <v>0</v>
      </c>
      <c r="P25" s="37">
        <f>Nov!G26+Nov!I26</f>
        <v>0</v>
      </c>
      <c r="Q25" s="37">
        <f>Dec!G26+Dec!I26</f>
        <v>0</v>
      </c>
      <c r="R25" s="37">
        <f t="shared" si="0"/>
        <v>0</v>
      </c>
    </row>
    <row r="26" spans="3:18" ht="18" x14ac:dyDescent="0.45">
      <c r="C26" s="79">
        <v>20</v>
      </c>
      <c r="D26" s="37" t="s">
        <v>130</v>
      </c>
      <c r="E26" s="41" t="s">
        <v>67</v>
      </c>
      <c r="F26" s="37">
        <f>January!G26+January!I26+January!L26</f>
        <v>-400</v>
      </c>
      <c r="G26" s="37">
        <f>Feb.!G26+Feb.!I26</f>
        <v>0</v>
      </c>
      <c r="H26" s="37">
        <f>Mar.!G26+Mar.!I26</f>
        <v>500</v>
      </c>
      <c r="I26" s="37">
        <f>Apr.!G27+Apr.!I27</f>
        <v>-100</v>
      </c>
      <c r="J26" s="37">
        <f>May!G27+May!I27</f>
        <v>0</v>
      </c>
      <c r="K26" s="37">
        <f>Jun!G27+Jun!I27</f>
        <v>-100</v>
      </c>
      <c r="L26" s="37">
        <f>Jul!G27+Jul!I27</f>
        <v>0</v>
      </c>
      <c r="M26" s="37">
        <f>Aug!G27+Aug!I27</f>
        <v>0</v>
      </c>
      <c r="N26" s="37">
        <f>Sep!G27+Sep!I27</f>
        <v>0</v>
      </c>
      <c r="O26" s="37">
        <f>Oct!G27+Oct!I27</f>
        <v>0</v>
      </c>
      <c r="P26" s="37">
        <f>Nov!G27+Nov!I27</f>
        <v>0</v>
      </c>
      <c r="Q26" s="37">
        <f>Dec!G27+Dec!I27</f>
        <v>0</v>
      </c>
      <c r="R26" s="37">
        <f t="shared" si="0"/>
        <v>-100</v>
      </c>
    </row>
    <row r="27" spans="3:18" ht="18" x14ac:dyDescent="0.45">
      <c r="C27" s="79">
        <v>21</v>
      </c>
      <c r="D27" s="37" t="s">
        <v>68</v>
      </c>
      <c r="E27" s="41" t="s">
        <v>69</v>
      </c>
      <c r="F27" s="37">
        <f>January!G27+January!I27+January!L27</f>
        <v>0</v>
      </c>
      <c r="G27" s="37">
        <f>Feb.!G27+Feb.!I27</f>
        <v>100</v>
      </c>
      <c r="H27" s="37">
        <f>Mar.!G27+Mar.!I27</f>
        <v>-100</v>
      </c>
      <c r="I27" s="37">
        <f>Apr.!G28+Apr.!I28</f>
        <v>-100</v>
      </c>
      <c r="J27" s="37">
        <f>May!G28+May!I28</f>
        <v>100</v>
      </c>
      <c r="K27" s="37">
        <f>Jun!G28+Jun!I28</f>
        <v>-100</v>
      </c>
      <c r="L27" s="37">
        <f>Jul!G28+Jul!I28</f>
        <v>0</v>
      </c>
      <c r="M27" s="37">
        <f>Aug!G28+Aug!I28</f>
        <v>0</v>
      </c>
      <c r="N27" s="37">
        <f>Sep!G28+Sep!I28</f>
        <v>0</v>
      </c>
      <c r="O27" s="37">
        <f>Oct!G28+Oct!I28</f>
        <v>0</v>
      </c>
      <c r="P27" s="37">
        <f>Nov!G28+Nov!I28</f>
        <v>0</v>
      </c>
      <c r="Q27" s="37">
        <f>Dec!G28+Dec!I28</f>
        <v>0</v>
      </c>
      <c r="R27" s="37">
        <f t="shared" si="0"/>
        <v>-100</v>
      </c>
    </row>
    <row r="28" spans="3:18" ht="18" x14ac:dyDescent="0.45">
      <c r="C28" s="79">
        <v>22</v>
      </c>
      <c r="D28" s="37" t="s">
        <v>70</v>
      </c>
      <c r="E28" s="41" t="s">
        <v>71</v>
      </c>
      <c r="F28" s="37">
        <f>January!G28+January!I28+January!L28</f>
        <v>0</v>
      </c>
      <c r="G28" s="37">
        <f>Feb.!G28+Feb.!I28</f>
        <v>0</v>
      </c>
      <c r="H28" s="37">
        <f>Mar.!G28+Mar.!I28</f>
        <v>0</v>
      </c>
      <c r="I28" s="37">
        <f>Apr.!G29+Apr.!I29</f>
        <v>0</v>
      </c>
      <c r="J28" s="37">
        <f>May!G29+May!I29</f>
        <v>0</v>
      </c>
      <c r="K28" s="37">
        <f>Jun!G29+Jun!I29</f>
        <v>0</v>
      </c>
      <c r="L28" s="37">
        <f>Jul!G29+Jul!I29</f>
        <v>0</v>
      </c>
      <c r="M28" s="37">
        <f>Aug!G29+Aug!I29</f>
        <v>0</v>
      </c>
      <c r="N28" s="37">
        <f>Sep!G29+Sep!I29</f>
        <v>0</v>
      </c>
      <c r="O28" s="37">
        <f>Oct!G29+Oct!I29</f>
        <v>0</v>
      </c>
      <c r="P28" s="37">
        <f>Nov!G29+Nov!I29</f>
        <v>0</v>
      </c>
      <c r="Q28" s="37">
        <f>Dec!G29+Dec!I29</f>
        <v>0</v>
      </c>
      <c r="R28" s="37">
        <f t="shared" si="0"/>
        <v>0</v>
      </c>
    </row>
    <row r="29" spans="3:18" ht="18" x14ac:dyDescent="0.45">
      <c r="C29" s="79">
        <v>23</v>
      </c>
      <c r="D29" s="37" t="s">
        <v>72</v>
      </c>
      <c r="E29" s="41" t="s">
        <v>73</v>
      </c>
      <c r="F29" s="37">
        <f>January!G29+January!I29+January!L29</f>
        <v>0</v>
      </c>
      <c r="G29" s="37">
        <f>Feb.!G29+Feb.!I29</f>
        <v>0</v>
      </c>
      <c r="H29" s="37">
        <f>Mar.!G29+Mar.!I29</f>
        <v>0</v>
      </c>
      <c r="I29" s="37">
        <f>Apr.!G30+Apr.!I30</f>
        <v>0</v>
      </c>
      <c r="J29" s="37">
        <f>May!G30+May!I30</f>
        <v>0</v>
      </c>
      <c r="K29" s="37">
        <f>Jun!G30+Jun!I30</f>
        <v>0</v>
      </c>
      <c r="L29" s="37">
        <f>Jul!G30+Jul!I30</f>
        <v>0</v>
      </c>
      <c r="M29" s="37">
        <f>Aug!G30+Aug!I30</f>
        <v>0</v>
      </c>
      <c r="N29" s="37">
        <f>Sep!G30+Sep!I30</f>
        <v>0</v>
      </c>
      <c r="O29" s="37">
        <f>Oct!G30+Oct!I30</f>
        <v>0</v>
      </c>
      <c r="P29" s="37">
        <f>Nov!G30+Nov!I30</f>
        <v>0</v>
      </c>
      <c r="Q29" s="37">
        <f>Dec!G30+Dec!I30</f>
        <v>0</v>
      </c>
      <c r="R29" s="37">
        <f t="shared" si="0"/>
        <v>0</v>
      </c>
    </row>
    <row r="30" spans="3:18" ht="18" x14ac:dyDescent="0.45">
      <c r="C30" s="79">
        <v>24</v>
      </c>
      <c r="D30" s="37" t="s">
        <v>74</v>
      </c>
      <c r="E30" s="41" t="s">
        <v>75</v>
      </c>
      <c r="F30" s="37">
        <f>January!G30+January!I30+January!L30</f>
        <v>0</v>
      </c>
      <c r="G30" s="37">
        <f>Feb.!G30+Feb.!I30</f>
        <v>-100</v>
      </c>
      <c r="H30" s="37">
        <f>Mar.!G30+Mar.!I30</f>
        <v>0</v>
      </c>
      <c r="I30" s="37">
        <f>Apr.!G31+Apr.!I31</f>
        <v>0</v>
      </c>
      <c r="J30" s="37">
        <f>May!G31+May!I31</f>
        <v>100</v>
      </c>
      <c r="K30" s="37">
        <f>Jun!G31+Jun!I31</f>
        <v>-100</v>
      </c>
      <c r="L30" s="37">
        <f>Jul!G31+Jul!I31</f>
        <v>0</v>
      </c>
      <c r="M30" s="37">
        <f>Aug!G31+Aug!I31</f>
        <v>0</v>
      </c>
      <c r="N30" s="37">
        <f>Sep!G31+Sep!I31</f>
        <v>0</v>
      </c>
      <c r="O30" s="37">
        <f>Oct!G31+Oct!I31</f>
        <v>0</v>
      </c>
      <c r="P30" s="37">
        <f>Nov!G31+Nov!I31</f>
        <v>0</v>
      </c>
      <c r="Q30" s="37">
        <f>Dec!G31+Dec!I31</f>
        <v>0</v>
      </c>
      <c r="R30" s="37">
        <f t="shared" si="0"/>
        <v>-100</v>
      </c>
    </row>
    <row r="31" spans="3:18" ht="18" x14ac:dyDescent="0.45">
      <c r="C31" s="79">
        <v>25</v>
      </c>
      <c r="D31" s="37" t="s">
        <v>76</v>
      </c>
      <c r="E31" s="41" t="s">
        <v>77</v>
      </c>
      <c r="F31" s="37">
        <f>January!G31+January!I31+January!L31</f>
        <v>0</v>
      </c>
      <c r="G31" s="37">
        <f>Feb.!G31+Feb.!I31</f>
        <v>0</v>
      </c>
      <c r="H31" s="37">
        <f>Mar.!G31+Mar.!I31</f>
        <v>0</v>
      </c>
      <c r="I31" s="37">
        <f>Apr.!G32+Apr.!I32</f>
        <v>0</v>
      </c>
      <c r="J31" s="37">
        <f>May!G32+May!I32</f>
        <v>0</v>
      </c>
      <c r="K31" s="37">
        <f>Jun!G32+Jun!I32</f>
        <v>0</v>
      </c>
      <c r="L31" s="37">
        <f>Jul!G32+Jul!I32</f>
        <v>0</v>
      </c>
      <c r="M31" s="37">
        <f>Aug!G32+Aug!I32</f>
        <v>0</v>
      </c>
      <c r="N31" s="37">
        <f>Sep!G32+Sep!I32</f>
        <v>0</v>
      </c>
      <c r="O31" s="37">
        <f>Oct!G32+Oct!I32</f>
        <v>0</v>
      </c>
      <c r="P31" s="37">
        <f>Nov!G32+Nov!I32</f>
        <v>0</v>
      </c>
      <c r="Q31" s="37">
        <f>Dec!G32+Dec!I32</f>
        <v>0</v>
      </c>
      <c r="R31" s="37">
        <f t="shared" si="0"/>
        <v>0</v>
      </c>
    </row>
    <row r="32" spans="3:18" ht="18" x14ac:dyDescent="0.45">
      <c r="C32" s="79">
        <v>26</v>
      </c>
      <c r="D32" s="37" t="s">
        <v>78</v>
      </c>
      <c r="E32" s="41" t="s">
        <v>79</v>
      </c>
      <c r="F32" s="37">
        <f>January!G32+January!I32+January!L32</f>
        <v>-100</v>
      </c>
      <c r="G32" s="37">
        <f>Feb.!G32+Feb.!I32</f>
        <v>-100</v>
      </c>
      <c r="H32" s="37">
        <f>Mar.!G32+Mar.!I32</f>
        <v>-100</v>
      </c>
      <c r="I32" s="37">
        <f>Apr.!G33+Apr.!I33</f>
        <v>300</v>
      </c>
      <c r="J32" s="37">
        <f>May!G33+May!I33</f>
        <v>0</v>
      </c>
      <c r="K32" s="37">
        <f>Jun!G33+Jun!I33</f>
        <v>-100</v>
      </c>
      <c r="L32" s="37">
        <f>Jul!G33+Jul!I33</f>
        <v>0</v>
      </c>
      <c r="M32" s="37">
        <f>Aug!G33+Aug!I33</f>
        <v>0</v>
      </c>
      <c r="N32" s="37">
        <f>Sep!G33+Sep!I33</f>
        <v>0</v>
      </c>
      <c r="O32" s="37">
        <f>Oct!G33+Oct!I33</f>
        <v>0</v>
      </c>
      <c r="P32" s="37">
        <f>Nov!G33+Nov!I33</f>
        <v>0</v>
      </c>
      <c r="Q32" s="37">
        <f>Dec!G33+Dec!I33</f>
        <v>0</v>
      </c>
      <c r="R32" s="37">
        <f t="shared" si="0"/>
        <v>-100</v>
      </c>
    </row>
    <row r="33" spans="3:18" ht="23.65" thickBot="1" x14ac:dyDescent="0.5">
      <c r="C33" s="157" t="s">
        <v>80</v>
      </c>
      <c r="D33" s="158"/>
      <c r="E33" s="159"/>
      <c r="F33" s="30">
        <f>SUM(F7:F32)</f>
        <v>-1600</v>
      </c>
      <c r="G33" s="30">
        <f t="shared" ref="G33:Q33" si="1">SUM(G7:G32)</f>
        <v>-800</v>
      </c>
      <c r="H33" s="30">
        <f t="shared" si="1"/>
        <v>500</v>
      </c>
      <c r="I33" s="30">
        <f t="shared" si="1"/>
        <v>-200</v>
      </c>
      <c r="J33" s="30">
        <f t="shared" si="1"/>
        <v>-300</v>
      </c>
      <c r="K33" s="30">
        <f>SUM(K7:K32)</f>
        <v>-900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30">
        <f t="shared" si="1"/>
        <v>0</v>
      </c>
      <c r="R33" s="30">
        <f>SUM(R7:R32)</f>
        <v>-3300</v>
      </c>
    </row>
    <row r="34" spans="3:18" x14ac:dyDescent="0.45"/>
    <row r="35" spans="3:18" x14ac:dyDescent="0.45"/>
    <row r="36" spans="3:18" ht="23.25" x14ac:dyDescent="0.7">
      <c r="F36" s="116" t="b">
        <f>F33=January!O33</f>
        <v>1</v>
      </c>
      <c r="G36" s="116" t="b">
        <f>G33+F33=Feb.!O33</f>
        <v>1</v>
      </c>
      <c r="H36" s="116" t="b">
        <f>H33+G33+F33=Mar.!O33</f>
        <v>0</v>
      </c>
      <c r="I36" s="116" t="b">
        <f>I33+H33+G33+F33=Apr.!N35</f>
        <v>0</v>
      </c>
      <c r="J36" s="116" t="b">
        <f>+F33+J33+I33+H33+G33=May!N35</f>
        <v>0</v>
      </c>
      <c r="K36" s="116" t="b">
        <f>+G33+K33+J33+I33+H33+F33=Jun!N35</f>
        <v>0</v>
      </c>
      <c r="L36" s="116" t="b">
        <f>+H33+L33+K33+J33+I33+G33+F33=Jul!N35</f>
        <v>0</v>
      </c>
      <c r="M36" s="116" t="b">
        <f>+I33+M33+L33+K33+J33+H33+G33+F33=Aug!N35</f>
        <v>0</v>
      </c>
      <c r="N36" s="116" t="b">
        <f>+J33+N33+M33+L33+K33+I33+H33+G33+F33=Sep!N35</f>
        <v>0</v>
      </c>
      <c r="O36" s="116" t="b">
        <f>F33+K33+O33+N33+M33+L33+J33+I33+H33+G33=Oct!N35</f>
        <v>0</v>
      </c>
      <c r="P36" s="116" t="b">
        <f>F33+G33+L33+P33+O33+N33+M33+K33+J33+I33+H33=Nov!N35</f>
        <v>0</v>
      </c>
      <c r="Q36" s="116" t="b">
        <f>+F33+G33+H33+M33+Q33+P33+O33+N33+L33+K33+J33+I33=Dec!N35</f>
        <v>0</v>
      </c>
      <c r="R36" s="116" t="b">
        <f>R33=Dec!N35</f>
        <v>0</v>
      </c>
    </row>
    <row r="37" spans="3:18" x14ac:dyDescent="0.45"/>
    <row r="38" spans="3:18" ht="27.75" customHeight="1" x14ac:dyDescent="0.45"/>
    <row r="39" spans="3:18" ht="21.75" hidden="1" customHeight="1" x14ac:dyDescent="0.45"/>
  </sheetData>
  <mergeCells count="3">
    <mergeCell ref="C3:R3"/>
    <mergeCell ref="C4:R4"/>
    <mergeCell ref="C33:E33"/>
  </mergeCells>
  <pageMargins left="0.7" right="0.7" top="0.75" bottom="0.75" header="0.3" footer="0.3"/>
  <pageSetup scale="44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D8F4-AF5B-4601-9C06-02B0C53186F4}">
  <sheetPr>
    <pageSetUpPr fitToPage="1"/>
  </sheetPr>
  <dimension ref="C1:Y39"/>
  <sheetViews>
    <sheetView showGridLines="0" zoomScale="50" zoomScaleNormal="50" workbookViewId="0">
      <selection activeCell="D7" sqref="D7:D32"/>
    </sheetView>
  </sheetViews>
  <sheetFormatPr defaultColWidth="9.1328125" defaultRowHeight="14.25" zeroHeight="1" x14ac:dyDescent="0.45"/>
  <cols>
    <col min="1" max="1" width="9.1328125" customWidth="1"/>
    <col min="2" max="2" width="5.59765625" bestFit="1" customWidth="1"/>
    <col min="3" max="3" width="6.3984375" customWidth="1"/>
    <col min="4" max="4" width="29.59765625" customWidth="1"/>
    <col min="5" max="5" width="11.265625" customWidth="1"/>
    <col min="6" max="13" width="15.59765625" style="36" customWidth="1"/>
    <col min="14" max="14" width="17.265625" style="36" customWidth="1"/>
    <col min="15" max="15" width="15.59765625" style="36" customWidth="1"/>
    <col min="16" max="18" width="15.59765625" customWidth="1"/>
    <col min="19" max="22" width="15.59765625" hidden="1" customWidth="1"/>
    <col min="23" max="23" width="14.86328125" customWidth="1"/>
    <col min="24" max="24" width="15" customWidth="1"/>
    <col min="25" max="25" width="45.265625" customWidth="1"/>
    <col min="26" max="26" width="19" customWidth="1"/>
    <col min="27" max="28" width="9.1328125" customWidth="1"/>
    <col min="29" max="29" width="14.3984375" customWidth="1"/>
    <col min="16384" max="16384" width="9.1328125" customWidth="1"/>
  </cols>
  <sheetData>
    <row r="1" spans="3:25" x14ac:dyDescent="0.45"/>
    <row r="2" spans="3:25" x14ac:dyDescent="0.45"/>
    <row r="3" spans="3:25" ht="21" x14ac:dyDescent="0.65">
      <c r="C3" s="178" t="s">
        <v>25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</row>
    <row r="4" spans="3:25" ht="21" x14ac:dyDescent="0.65">
      <c r="C4" s="178" t="s">
        <v>231</v>
      </c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</row>
    <row r="5" spans="3:25" ht="4.5" customHeight="1" thickBot="1" x14ac:dyDescent="0.5"/>
    <row r="6" spans="3:25" ht="34.9" customHeight="1" thickBot="1" x14ac:dyDescent="0.5">
      <c r="C6" s="27" t="s">
        <v>16</v>
      </c>
      <c r="D6" s="28" t="s">
        <v>26</v>
      </c>
      <c r="E6" s="29" t="s">
        <v>27</v>
      </c>
      <c r="F6" s="113" t="s">
        <v>0</v>
      </c>
      <c r="G6" s="113" t="s">
        <v>1</v>
      </c>
      <c r="H6" s="113" t="s">
        <v>2</v>
      </c>
      <c r="I6" s="113" t="s">
        <v>3</v>
      </c>
      <c r="J6" s="113" t="s">
        <v>166</v>
      </c>
      <c r="K6" s="113" t="s">
        <v>167</v>
      </c>
      <c r="L6" s="113" t="s">
        <v>175</v>
      </c>
      <c r="M6" s="113" t="s">
        <v>176</v>
      </c>
      <c r="N6" s="113" t="s">
        <v>177</v>
      </c>
      <c r="O6" s="113" t="s">
        <v>178</v>
      </c>
      <c r="P6" s="113" t="s">
        <v>179</v>
      </c>
      <c r="Q6" s="113" t="s">
        <v>180</v>
      </c>
      <c r="R6" s="43" t="s">
        <v>28</v>
      </c>
    </row>
    <row r="7" spans="3:25" ht="18" x14ac:dyDescent="0.45">
      <c r="C7" s="79">
        <v>1</v>
      </c>
      <c r="D7" s="37" t="s">
        <v>29</v>
      </c>
      <c r="E7" s="40" t="s">
        <v>30</v>
      </c>
      <c r="F7" s="37">
        <f>'Annual Due Amount (Maintenance)'!F7+'Annual Due Amount (Elevator)'!F7</f>
        <v>0</v>
      </c>
      <c r="G7" s="37">
        <f>'Annual Due Amount (Maintenance)'!G7+'Annual Due Amount (Elevator)'!G7</f>
        <v>-500</v>
      </c>
      <c r="H7" s="37">
        <f>'Annual Due Amount (Maintenance)'!H7+'Annual Due Amount (Elevator)'!H7</f>
        <v>0</v>
      </c>
      <c r="I7" s="37">
        <f>'Annual Due Amount (Maintenance)'!I7+'Annual Due Amount (Elevator)'!I7</f>
        <v>0</v>
      </c>
      <c r="J7" s="37">
        <f>'Annual Due Amount (Maintenance)'!J7+'Annual Due Amount (Elevator)'!J7</f>
        <v>0</v>
      </c>
      <c r="K7" s="37">
        <f>'Annual Due Amount (Maintenance)'!K7+'Annual Due Amount (Elevator)'!K7</f>
        <v>0</v>
      </c>
      <c r="L7" s="37">
        <f>'Annual Due Amount (Maintenance)'!L7+'Annual Due Amount (Elevator)'!L7</f>
        <v>0</v>
      </c>
      <c r="M7" s="37">
        <f>'Annual Due Amount (Maintenance)'!M7+'Annual Due Amount (Elevator)'!M7</f>
        <v>0</v>
      </c>
      <c r="N7" s="37">
        <f>'Annual Due Amount (Maintenance)'!N7+'Annual Due Amount (Elevator)'!N7</f>
        <v>0</v>
      </c>
      <c r="O7" s="37">
        <f>'Annual Due Amount (Maintenance)'!O7+'Annual Due Amount (Elevator)'!O7</f>
        <v>0</v>
      </c>
      <c r="P7" s="37">
        <f>'Annual Due Amount (Maintenance)'!P7+'Annual Due Amount (Elevator)'!P7</f>
        <v>0</v>
      </c>
      <c r="Q7" s="37">
        <f>'Annual Due Amount (Maintenance)'!Q7+'Annual Due Amount (Elevator)'!Q7</f>
        <v>0</v>
      </c>
      <c r="R7" s="78">
        <f>SUM(F7:Q7)</f>
        <v>-500</v>
      </c>
      <c r="S7" t="b">
        <f>F7=January!N7</f>
        <v>1</v>
      </c>
      <c r="T7" t="b">
        <f>(G7+F7)=Feb.!N7</f>
        <v>1</v>
      </c>
      <c r="U7" t="b">
        <f>(F7+G7+H7)=Mar.!N7</f>
        <v>1</v>
      </c>
      <c r="V7" t="b">
        <f>(F7+G7+H7+I7)=Apr.!M8</f>
        <v>1</v>
      </c>
      <c r="W7">
        <f>-X7-Y7</f>
        <v>500</v>
      </c>
      <c r="X7">
        <v>-500</v>
      </c>
      <c r="Y7">
        <v>0</v>
      </c>
    </row>
    <row r="8" spans="3:25" ht="18" x14ac:dyDescent="0.45">
      <c r="C8" s="79">
        <v>2</v>
      </c>
      <c r="D8" s="37" t="s">
        <v>194</v>
      </c>
      <c r="E8" s="40" t="s">
        <v>31</v>
      </c>
      <c r="F8" s="37">
        <f>'Annual Due Amount (Maintenance)'!F8+'Annual Due Amount (Elevator)'!F8</f>
        <v>0</v>
      </c>
      <c r="G8" s="37">
        <f>'Annual Due Amount (Maintenance)'!G8+'Annual Due Amount (Elevator)'!G8</f>
        <v>0</v>
      </c>
      <c r="H8" s="37">
        <f>'Annual Due Amount (Maintenance)'!H8+'Annual Due Amount (Elevator)'!H8</f>
        <v>0</v>
      </c>
      <c r="I8" s="37">
        <f>'Annual Due Amount (Maintenance)'!I8+'Annual Due Amount (Elevator)'!I8</f>
        <v>0</v>
      </c>
      <c r="J8" s="37">
        <f>'Annual Due Amount (Maintenance)'!J8+'Annual Due Amount (Elevator)'!J8</f>
        <v>0</v>
      </c>
      <c r="K8" s="37">
        <f>'Annual Due Amount (Maintenance)'!K8+'Annual Due Amount (Elevator)'!K8</f>
        <v>0</v>
      </c>
      <c r="L8" s="37">
        <f>'Annual Due Amount (Maintenance)'!L8+'Annual Due Amount (Elevator)'!L8</f>
        <v>0</v>
      </c>
      <c r="M8" s="37">
        <f>'Annual Due Amount (Maintenance)'!M8+'Annual Due Amount (Elevator)'!M8</f>
        <v>0</v>
      </c>
      <c r="N8" s="37">
        <f>'Annual Due Amount (Maintenance)'!N8+'Annual Due Amount (Elevator)'!N8</f>
        <v>0</v>
      </c>
      <c r="O8" s="37">
        <f>'Annual Due Amount (Maintenance)'!O8+'Annual Due Amount (Elevator)'!O8</f>
        <v>0</v>
      </c>
      <c r="P8" s="37">
        <f>'Annual Due Amount (Maintenance)'!P8+'Annual Due Amount (Elevator)'!P8</f>
        <v>0</v>
      </c>
      <c r="Q8" s="37">
        <f>'Annual Due Amount (Maintenance)'!Q8+'Annual Due Amount (Elevator)'!Q8</f>
        <v>0</v>
      </c>
      <c r="R8" s="78">
        <f t="shared" ref="R8:R32" si="0">SUM(F8:Q8)</f>
        <v>0</v>
      </c>
      <c r="S8" t="b">
        <f>F8=January!N8</f>
        <v>1</v>
      </c>
      <c r="T8" t="b">
        <f>(G8+F8)=Feb.!N8</f>
        <v>1</v>
      </c>
      <c r="U8" t="b">
        <f>(F8+G8+H8)=Mar.!N8</f>
        <v>1</v>
      </c>
      <c r="V8" t="b">
        <f>(F8+G8+H8+I8)=Apr.!M9</f>
        <v>1</v>
      </c>
      <c r="W8">
        <f t="shared" ref="W8:W32" si="1">-X8-Y8</f>
        <v>1500</v>
      </c>
      <c r="X8">
        <v>-1500</v>
      </c>
      <c r="Y8">
        <v>0</v>
      </c>
    </row>
    <row r="9" spans="3:25" ht="18" x14ac:dyDescent="0.45">
      <c r="C9" s="79">
        <v>3</v>
      </c>
      <c r="D9" s="37" t="s">
        <v>32</v>
      </c>
      <c r="E9" s="40" t="s">
        <v>33</v>
      </c>
      <c r="F9" s="37">
        <f>'Annual Due Amount (Maintenance)'!F9+'Annual Due Amount (Elevator)'!F9</f>
        <v>-5700</v>
      </c>
      <c r="G9" s="37">
        <f>'Annual Due Amount (Maintenance)'!G9+'Annual Due Amount (Elevator)'!G9</f>
        <v>-300</v>
      </c>
      <c r="H9" s="37">
        <f>'Annual Due Amount (Maintenance)'!H9+'Annual Due Amount (Elevator)'!H9</f>
        <v>-300</v>
      </c>
      <c r="I9" s="37">
        <f>'Annual Due Amount (Maintenance)'!I9+'Annual Due Amount (Elevator)'!I9</f>
        <v>-300</v>
      </c>
      <c r="J9" s="37">
        <f>'Annual Due Amount (Maintenance)'!J9+'Annual Due Amount (Elevator)'!J9</f>
        <v>-300</v>
      </c>
      <c r="K9" s="37">
        <f>'Annual Due Amount (Maintenance)'!K9+'Annual Due Amount (Elevator)'!K9</f>
        <v>-300</v>
      </c>
      <c r="L9" s="37">
        <f>'Annual Due Amount (Maintenance)'!L9+'Annual Due Amount (Elevator)'!L9</f>
        <v>0</v>
      </c>
      <c r="M9" s="37">
        <f>'Annual Due Amount (Maintenance)'!M9+'Annual Due Amount (Elevator)'!M9</f>
        <v>0</v>
      </c>
      <c r="N9" s="37">
        <f>'Annual Due Amount (Maintenance)'!N9+'Annual Due Amount (Elevator)'!N9</f>
        <v>0</v>
      </c>
      <c r="O9" s="37">
        <f>'Annual Due Amount (Maintenance)'!O9+'Annual Due Amount (Elevator)'!O9</f>
        <v>0</v>
      </c>
      <c r="P9" s="37">
        <f>'Annual Due Amount (Maintenance)'!P9+'Annual Due Amount (Elevator)'!P9</f>
        <v>0</v>
      </c>
      <c r="Q9" s="37">
        <f>'Annual Due Amount (Maintenance)'!Q9+'Annual Due Amount (Elevator)'!Q9</f>
        <v>0</v>
      </c>
      <c r="R9" s="78">
        <f t="shared" si="0"/>
        <v>-7200</v>
      </c>
      <c r="S9" t="b">
        <f>F9=January!N9</f>
        <v>1</v>
      </c>
      <c r="T9" t="b">
        <f>(G9+F9)=Feb.!N9</f>
        <v>1</v>
      </c>
      <c r="U9" t="b">
        <f>(F9+G9+H9)=Mar.!N9</f>
        <v>1</v>
      </c>
      <c r="V9" t="b">
        <f>(F9+G9+H9+I9)=Apr.!M10</f>
        <v>1</v>
      </c>
      <c r="W9">
        <f t="shared" si="1"/>
        <v>5100</v>
      </c>
      <c r="X9">
        <v>-5100</v>
      </c>
      <c r="Y9">
        <v>0</v>
      </c>
    </row>
    <row r="10" spans="3:25" ht="18" x14ac:dyDescent="0.45">
      <c r="C10" s="79">
        <v>4</v>
      </c>
      <c r="D10" s="37" t="s">
        <v>34</v>
      </c>
      <c r="E10" s="40" t="s">
        <v>35</v>
      </c>
      <c r="F10" s="37">
        <f>'Annual Due Amount (Maintenance)'!F10+'Annual Due Amount (Elevator)'!F10</f>
        <v>0</v>
      </c>
      <c r="G10" s="37">
        <f>'Annual Due Amount (Maintenance)'!G10+'Annual Due Amount (Elevator)'!G10</f>
        <v>0</v>
      </c>
      <c r="H10" s="37">
        <f>'Annual Due Amount (Maintenance)'!H10+'Annual Due Amount (Elevator)'!H10</f>
        <v>0</v>
      </c>
      <c r="I10" s="37">
        <f>'Annual Due Amount (Maintenance)'!I10+'Annual Due Amount (Elevator)'!I10</f>
        <v>0</v>
      </c>
      <c r="J10" s="37">
        <f>'Annual Due Amount (Maintenance)'!J10+'Annual Due Amount (Elevator)'!J10</f>
        <v>0</v>
      </c>
      <c r="K10" s="37">
        <f>'Annual Due Amount (Maintenance)'!K10+'Annual Due Amount (Elevator)'!K10</f>
        <v>0</v>
      </c>
      <c r="L10" s="37">
        <f>'Annual Due Amount (Maintenance)'!L10+'Annual Due Amount (Elevator)'!L10</f>
        <v>0</v>
      </c>
      <c r="M10" s="37">
        <f>'Annual Due Amount (Maintenance)'!M10+'Annual Due Amount (Elevator)'!M10</f>
        <v>0</v>
      </c>
      <c r="N10" s="37">
        <f>'Annual Due Amount (Maintenance)'!N10+'Annual Due Amount (Elevator)'!N10</f>
        <v>0</v>
      </c>
      <c r="O10" s="37">
        <f>'Annual Due Amount (Maintenance)'!O10+'Annual Due Amount (Elevator)'!O10</f>
        <v>0</v>
      </c>
      <c r="P10" s="37">
        <f>'Annual Due Amount (Maintenance)'!P10+'Annual Due Amount (Elevator)'!P10</f>
        <v>0</v>
      </c>
      <c r="Q10" s="37">
        <f>'Annual Due Amount (Maintenance)'!Q10+'Annual Due Amount (Elevator)'!Q10</f>
        <v>0</v>
      </c>
      <c r="R10" s="78">
        <f t="shared" si="0"/>
        <v>0</v>
      </c>
      <c r="S10" t="b">
        <f>F10=January!N10</f>
        <v>1</v>
      </c>
      <c r="T10" t="b">
        <f>(G10+F10)=Feb.!N10</f>
        <v>1</v>
      </c>
      <c r="U10" t="b">
        <f>(F10+G10+H10)=Mar.!N10</f>
        <v>1</v>
      </c>
      <c r="V10" t="b">
        <f>(F10+G10+H10+I10)=Apr.!M11</f>
        <v>1</v>
      </c>
      <c r="W10">
        <f t="shared" si="1"/>
        <v>0</v>
      </c>
      <c r="X10">
        <v>0</v>
      </c>
      <c r="Y10">
        <v>0</v>
      </c>
    </row>
    <row r="11" spans="3:25" ht="18" x14ac:dyDescent="0.45">
      <c r="C11" s="79">
        <v>5</v>
      </c>
      <c r="D11" s="37" t="s">
        <v>36</v>
      </c>
      <c r="E11" s="40" t="s">
        <v>37</v>
      </c>
      <c r="F11" s="37">
        <f>'Annual Due Amount (Maintenance)'!F11+'Annual Due Amount (Elevator)'!F11</f>
        <v>0</v>
      </c>
      <c r="G11" s="37">
        <f>'Annual Due Amount (Maintenance)'!G11+'Annual Due Amount (Elevator)'!G11</f>
        <v>0</v>
      </c>
      <c r="H11" s="37">
        <f>'Annual Due Amount (Maintenance)'!H11+'Annual Due Amount (Elevator)'!H11</f>
        <v>600</v>
      </c>
      <c r="I11" s="37">
        <f>'Annual Due Amount (Maintenance)'!I11+'Annual Due Amount (Elevator)'!I11</f>
        <v>0</v>
      </c>
      <c r="J11" s="37">
        <f>'Annual Due Amount (Maintenance)'!J11+'Annual Due Amount (Elevator)'!J11</f>
        <v>0</v>
      </c>
      <c r="K11" s="37">
        <f>'Annual Due Amount (Maintenance)'!K11+'Annual Due Amount (Elevator)'!K11</f>
        <v>0</v>
      </c>
      <c r="L11" s="37">
        <f>'Annual Due Amount (Maintenance)'!L11+'Annual Due Amount (Elevator)'!L11</f>
        <v>0</v>
      </c>
      <c r="M11" s="37">
        <f>'Annual Due Amount (Maintenance)'!M11+'Annual Due Amount (Elevator)'!M11</f>
        <v>0</v>
      </c>
      <c r="N11" s="37">
        <f>'Annual Due Amount (Maintenance)'!N11+'Annual Due Amount (Elevator)'!N11</f>
        <v>0</v>
      </c>
      <c r="O11" s="37">
        <f>'Annual Due Amount (Maintenance)'!O11+'Annual Due Amount (Elevator)'!O11</f>
        <v>0</v>
      </c>
      <c r="P11" s="37">
        <f>'Annual Due Amount (Maintenance)'!P11+'Annual Due Amount (Elevator)'!P11</f>
        <v>0</v>
      </c>
      <c r="Q11" s="37">
        <f>'Annual Due Amount (Maintenance)'!Q11+'Annual Due Amount (Elevator)'!Q11</f>
        <v>0</v>
      </c>
      <c r="R11" s="78">
        <f t="shared" si="0"/>
        <v>600</v>
      </c>
      <c r="S11" t="b">
        <f>F11=January!N11</f>
        <v>1</v>
      </c>
      <c r="T11" t="b">
        <f>(G11+F11)=Feb.!N11</f>
        <v>1</v>
      </c>
      <c r="U11" t="b">
        <f>(F11+G11+H11)=Mar.!N11</f>
        <v>0</v>
      </c>
      <c r="V11" t="b">
        <f>(F11+G11+H11+I11)=Apr.!M12</f>
        <v>0</v>
      </c>
      <c r="W11">
        <f t="shared" si="1"/>
        <v>0</v>
      </c>
      <c r="X11">
        <v>0</v>
      </c>
      <c r="Y11">
        <v>0</v>
      </c>
    </row>
    <row r="12" spans="3:25" ht="18" x14ac:dyDescent="0.45">
      <c r="C12" s="79">
        <v>6</v>
      </c>
      <c r="D12" s="37" t="s">
        <v>38</v>
      </c>
      <c r="E12" s="40" t="s">
        <v>39</v>
      </c>
      <c r="F12" s="37">
        <f>'Annual Due Amount (Maintenance)'!F12+'Annual Due Amount (Elevator)'!F12</f>
        <v>0</v>
      </c>
      <c r="G12" s="37">
        <f>'Annual Due Amount (Maintenance)'!G12+'Annual Due Amount (Elevator)'!G12</f>
        <v>0</v>
      </c>
      <c r="H12" s="37">
        <f>'Annual Due Amount (Maintenance)'!H12+'Annual Due Amount (Elevator)'!H12</f>
        <v>0</v>
      </c>
      <c r="I12" s="37">
        <f>'Annual Due Amount (Maintenance)'!I12+'Annual Due Amount (Elevator)'!I12</f>
        <v>0</v>
      </c>
      <c r="J12" s="37">
        <f>'Annual Due Amount (Maintenance)'!J12+'Annual Due Amount (Elevator)'!J12</f>
        <v>0</v>
      </c>
      <c r="K12" s="37">
        <f>'Annual Due Amount (Maintenance)'!K12+'Annual Due Amount (Elevator)'!K12</f>
        <v>0</v>
      </c>
      <c r="L12" s="37">
        <f>'Annual Due Amount (Maintenance)'!L12+'Annual Due Amount (Elevator)'!L12</f>
        <v>0</v>
      </c>
      <c r="M12" s="37">
        <f>'Annual Due Amount (Maintenance)'!M12+'Annual Due Amount (Elevator)'!M12</f>
        <v>0</v>
      </c>
      <c r="N12" s="37">
        <f>'Annual Due Amount (Maintenance)'!N12+'Annual Due Amount (Elevator)'!N12</f>
        <v>0</v>
      </c>
      <c r="O12" s="37">
        <f>'Annual Due Amount (Maintenance)'!O12+'Annual Due Amount (Elevator)'!O12</f>
        <v>0</v>
      </c>
      <c r="P12" s="37">
        <f>'Annual Due Amount (Maintenance)'!P12+'Annual Due Amount (Elevator)'!P12</f>
        <v>0</v>
      </c>
      <c r="Q12" s="37">
        <f>'Annual Due Amount (Maintenance)'!Q12+'Annual Due Amount (Elevator)'!Q12</f>
        <v>0</v>
      </c>
      <c r="R12" s="78">
        <f t="shared" si="0"/>
        <v>0</v>
      </c>
      <c r="S12" t="b">
        <f>F12=January!N12</f>
        <v>1</v>
      </c>
      <c r="T12" t="b">
        <f>(G12+F12)=Feb.!N12</f>
        <v>1</v>
      </c>
      <c r="U12" t="b">
        <f>(F12+G12+H12)=Mar.!N12</f>
        <v>1</v>
      </c>
      <c r="V12" t="b">
        <f>(F12+G12+H12+I12)=Apr.!M13</f>
        <v>1</v>
      </c>
      <c r="W12">
        <f t="shared" si="1"/>
        <v>0</v>
      </c>
      <c r="X12">
        <v>0</v>
      </c>
      <c r="Y12">
        <v>0</v>
      </c>
    </row>
    <row r="13" spans="3:25" ht="18" x14ac:dyDescent="0.45">
      <c r="C13" s="79">
        <v>7</v>
      </c>
      <c r="D13" s="37" t="s">
        <v>40</v>
      </c>
      <c r="E13" s="40" t="s">
        <v>41</v>
      </c>
      <c r="F13" s="37">
        <f>'Annual Due Amount (Maintenance)'!F13+'Annual Due Amount (Elevator)'!F13</f>
        <v>-3000</v>
      </c>
      <c r="G13" s="37">
        <f>'Annual Due Amount (Maintenance)'!G13+'Annual Due Amount (Elevator)'!G13</f>
        <v>-300</v>
      </c>
      <c r="H13" s="37">
        <f>'Annual Due Amount (Maintenance)'!H13+'Annual Due Amount (Elevator)'!H13</f>
        <v>-300</v>
      </c>
      <c r="I13" s="37">
        <f>'Annual Due Amount (Maintenance)'!I13+'Annual Due Amount (Elevator)'!I13</f>
        <v>-300</v>
      </c>
      <c r="J13" s="37">
        <f>'Annual Due Amount (Maintenance)'!J13+'Annual Due Amount (Elevator)'!J13</f>
        <v>3900</v>
      </c>
      <c r="K13" s="37">
        <f>'Annual Due Amount (Maintenance)'!K13+'Annual Due Amount (Elevator)'!K13</f>
        <v>-300</v>
      </c>
      <c r="L13" s="37">
        <f>'Annual Due Amount (Maintenance)'!L13+'Annual Due Amount (Elevator)'!L13</f>
        <v>0</v>
      </c>
      <c r="M13" s="37">
        <f>'Annual Due Amount (Maintenance)'!M13+'Annual Due Amount (Elevator)'!M13</f>
        <v>0</v>
      </c>
      <c r="N13" s="37">
        <f>'Annual Due Amount (Maintenance)'!N13+'Annual Due Amount (Elevator)'!N13</f>
        <v>0</v>
      </c>
      <c r="O13" s="37">
        <f>'Annual Due Amount (Maintenance)'!O13+'Annual Due Amount (Elevator)'!O13</f>
        <v>0</v>
      </c>
      <c r="P13" s="37">
        <f>'Annual Due Amount (Maintenance)'!P13+'Annual Due Amount (Elevator)'!P13</f>
        <v>0</v>
      </c>
      <c r="Q13" s="37">
        <f>'Annual Due Amount (Maintenance)'!Q13+'Annual Due Amount (Elevator)'!Q13</f>
        <v>0</v>
      </c>
      <c r="R13" s="78">
        <f t="shared" si="0"/>
        <v>-300</v>
      </c>
      <c r="S13" t="b">
        <f>F13=January!N13</f>
        <v>1</v>
      </c>
      <c r="T13" t="b">
        <f>(G13+F13)=Feb.!N13</f>
        <v>1</v>
      </c>
      <c r="U13" t="b">
        <f>(F13+G13+H13)=Mar.!N13</f>
        <v>1</v>
      </c>
      <c r="V13" t="b">
        <f>(F13+G13+H13+I13)=Apr.!M14</f>
        <v>1</v>
      </c>
      <c r="W13">
        <f t="shared" si="1"/>
        <v>2400</v>
      </c>
      <c r="X13">
        <v>-2400</v>
      </c>
      <c r="Y13">
        <v>0</v>
      </c>
    </row>
    <row r="14" spans="3:25" ht="18" x14ac:dyDescent="0.45">
      <c r="C14" s="79">
        <v>8</v>
      </c>
      <c r="D14" s="37" t="s">
        <v>42</v>
      </c>
      <c r="E14" s="41" t="s">
        <v>43</v>
      </c>
      <c r="F14" s="37">
        <f>'Annual Due Amount (Maintenance)'!F14+'Annual Due Amount (Elevator)'!F14</f>
        <v>0</v>
      </c>
      <c r="G14" s="37">
        <f>'Annual Due Amount (Maintenance)'!G14+'Annual Due Amount (Elevator)'!G14</f>
        <v>-300</v>
      </c>
      <c r="H14" s="37">
        <f>'Annual Due Amount (Maintenance)'!H14+'Annual Due Amount (Elevator)'!H14</f>
        <v>300</v>
      </c>
      <c r="I14" s="37">
        <f>'Annual Due Amount (Maintenance)'!I14+'Annual Due Amount (Elevator)'!I14</f>
        <v>0</v>
      </c>
      <c r="J14" s="37">
        <f>'Annual Due Amount (Maintenance)'!J14+'Annual Due Amount (Elevator)'!J14</f>
        <v>0</v>
      </c>
      <c r="K14" s="37">
        <f>'Annual Due Amount (Maintenance)'!K14+'Annual Due Amount (Elevator)'!K14</f>
        <v>-300</v>
      </c>
      <c r="L14" s="37">
        <f>'Annual Due Amount (Maintenance)'!L14+'Annual Due Amount (Elevator)'!L14</f>
        <v>0</v>
      </c>
      <c r="M14" s="37">
        <f>'Annual Due Amount (Maintenance)'!M14+'Annual Due Amount (Elevator)'!M14</f>
        <v>0</v>
      </c>
      <c r="N14" s="37">
        <f>'Annual Due Amount (Maintenance)'!N14+'Annual Due Amount (Elevator)'!N14</f>
        <v>0</v>
      </c>
      <c r="O14" s="37">
        <f>'Annual Due Amount (Maintenance)'!O14+'Annual Due Amount (Elevator)'!O14</f>
        <v>0</v>
      </c>
      <c r="P14" s="37">
        <f>'Annual Due Amount (Maintenance)'!P14+'Annual Due Amount (Elevator)'!P14</f>
        <v>0</v>
      </c>
      <c r="Q14" s="37">
        <f>'Annual Due Amount (Maintenance)'!Q14+'Annual Due Amount (Elevator)'!Q14</f>
        <v>0</v>
      </c>
      <c r="R14" s="78">
        <f t="shared" si="0"/>
        <v>-300</v>
      </c>
      <c r="S14" t="b">
        <f>F14=January!N14</f>
        <v>1</v>
      </c>
      <c r="T14" t="b">
        <f>(G14+F14)=Feb.!N14</f>
        <v>1</v>
      </c>
      <c r="U14" t="b">
        <f>(F14+G14+H14)=Mar.!N14</f>
        <v>1</v>
      </c>
      <c r="V14" t="b">
        <f>(F14+G14+H14+I14)=Apr.!M15</f>
        <v>1</v>
      </c>
      <c r="W14">
        <f t="shared" si="1"/>
        <v>300</v>
      </c>
      <c r="X14">
        <v>-300</v>
      </c>
      <c r="Y14">
        <v>0</v>
      </c>
    </row>
    <row r="15" spans="3:25" ht="18" x14ac:dyDescent="0.45">
      <c r="C15" s="79">
        <v>9</v>
      </c>
      <c r="D15" s="37" t="s">
        <v>44</v>
      </c>
      <c r="E15" s="41" t="s">
        <v>45</v>
      </c>
      <c r="F15" s="37">
        <f>'Annual Due Amount (Maintenance)'!F15+'Annual Due Amount (Elevator)'!F15</f>
        <v>0</v>
      </c>
      <c r="G15" s="37">
        <f>'Annual Due Amount (Maintenance)'!G15+'Annual Due Amount (Elevator)'!G15</f>
        <v>0</v>
      </c>
      <c r="H15" s="37">
        <f>'Annual Due Amount (Maintenance)'!H15+'Annual Due Amount (Elevator)'!H15</f>
        <v>0</v>
      </c>
      <c r="I15" s="37">
        <f>'Annual Due Amount (Maintenance)'!I15+'Annual Due Amount (Elevator)'!I15</f>
        <v>0</v>
      </c>
      <c r="J15" s="37">
        <f>'Annual Due Amount (Maintenance)'!J15+'Annual Due Amount (Elevator)'!J15</f>
        <v>0</v>
      </c>
      <c r="K15" s="37">
        <f>'Annual Due Amount (Maintenance)'!K15+'Annual Due Amount (Elevator)'!K15</f>
        <v>-500</v>
      </c>
      <c r="L15" s="37">
        <f>'Annual Due Amount (Maintenance)'!L15+'Annual Due Amount (Elevator)'!L15</f>
        <v>0</v>
      </c>
      <c r="M15" s="37">
        <f>'Annual Due Amount (Maintenance)'!M15+'Annual Due Amount (Elevator)'!M15</f>
        <v>0</v>
      </c>
      <c r="N15" s="37">
        <f>'Annual Due Amount (Maintenance)'!N15+'Annual Due Amount (Elevator)'!N15</f>
        <v>0</v>
      </c>
      <c r="O15" s="37">
        <f>'Annual Due Amount (Maintenance)'!O15+'Annual Due Amount (Elevator)'!O15</f>
        <v>0</v>
      </c>
      <c r="P15" s="37">
        <f>'Annual Due Amount (Maintenance)'!P15+'Annual Due Amount (Elevator)'!P15</f>
        <v>0</v>
      </c>
      <c r="Q15" s="37">
        <f>'Annual Due Amount (Maintenance)'!Q15+'Annual Due Amount (Elevator)'!Q15</f>
        <v>0</v>
      </c>
      <c r="R15" s="78">
        <f t="shared" si="0"/>
        <v>-500</v>
      </c>
      <c r="S15" t="b">
        <f>F15=January!N15</f>
        <v>1</v>
      </c>
      <c r="T15" t="b">
        <f>(G15+F15)=Feb.!N15</f>
        <v>1</v>
      </c>
      <c r="U15" t="b">
        <f>(F15+G15+H15)=Mar.!N15</f>
        <v>1</v>
      </c>
      <c r="V15" t="b">
        <f>(F15+G15+H15+I15)=Apr.!M16</f>
        <v>1</v>
      </c>
      <c r="W15">
        <f t="shared" si="1"/>
        <v>500</v>
      </c>
      <c r="X15">
        <v>-500</v>
      </c>
      <c r="Y15">
        <v>0</v>
      </c>
    </row>
    <row r="16" spans="3:25" ht="18" x14ac:dyDescent="0.45">
      <c r="C16" s="79">
        <v>10</v>
      </c>
      <c r="D16" s="37" t="s">
        <v>46</v>
      </c>
      <c r="E16" s="41" t="s">
        <v>47</v>
      </c>
      <c r="F16" s="37">
        <f>'Annual Due Amount (Maintenance)'!F16+'Annual Due Amount (Elevator)'!F16</f>
        <v>-600</v>
      </c>
      <c r="G16" s="37">
        <f>'Annual Due Amount (Maintenance)'!G16+'Annual Due Amount (Elevator)'!G16</f>
        <v>-600</v>
      </c>
      <c r="H16" s="37">
        <f>'Annual Due Amount (Maintenance)'!H16+'Annual Due Amount (Elevator)'!H16</f>
        <v>600</v>
      </c>
      <c r="I16" s="37">
        <f>'Annual Due Amount (Maintenance)'!I16+'Annual Due Amount (Elevator)'!I16</f>
        <v>600</v>
      </c>
      <c r="J16" s="37">
        <f>'Annual Due Amount (Maintenance)'!J16+'Annual Due Amount (Elevator)'!J16</f>
        <v>-600</v>
      </c>
      <c r="K16" s="37">
        <f>'Annual Due Amount (Maintenance)'!K16+'Annual Due Amount (Elevator)'!K16</f>
        <v>-600</v>
      </c>
      <c r="L16" s="37">
        <f>'Annual Due Amount (Maintenance)'!L16+'Annual Due Amount (Elevator)'!L16</f>
        <v>0</v>
      </c>
      <c r="M16" s="37">
        <f>'Annual Due Amount (Maintenance)'!M16+'Annual Due Amount (Elevator)'!M16</f>
        <v>0</v>
      </c>
      <c r="N16" s="37">
        <f>'Annual Due Amount (Maintenance)'!N16+'Annual Due Amount (Elevator)'!N16</f>
        <v>0</v>
      </c>
      <c r="O16" s="37">
        <f>'Annual Due Amount (Maintenance)'!O16+'Annual Due Amount (Elevator)'!O16</f>
        <v>0</v>
      </c>
      <c r="P16" s="37">
        <f>'Annual Due Amount (Maintenance)'!P16+'Annual Due Amount (Elevator)'!P16</f>
        <v>0</v>
      </c>
      <c r="Q16" s="37">
        <f>'Annual Due Amount (Maintenance)'!Q16+'Annual Due Amount (Elevator)'!Q16</f>
        <v>0</v>
      </c>
      <c r="R16" s="78">
        <f t="shared" si="0"/>
        <v>-1200</v>
      </c>
      <c r="S16" t="b">
        <f>F16=January!N16</f>
        <v>0</v>
      </c>
      <c r="T16" t="b">
        <f>(G16+F16)=Feb.!N16</f>
        <v>0</v>
      </c>
      <c r="U16" t="b">
        <f>(F16+G16+H16)=Mar.!N16</f>
        <v>0</v>
      </c>
      <c r="V16" t="b">
        <f>(F16+G16+H16+I16)=Apr.!M17</f>
        <v>1</v>
      </c>
      <c r="W16">
        <f t="shared" si="1"/>
        <v>600</v>
      </c>
      <c r="X16">
        <v>-500</v>
      </c>
      <c r="Y16">
        <v>-100</v>
      </c>
    </row>
    <row r="17" spans="3:25" ht="18" x14ac:dyDescent="0.45">
      <c r="C17" s="79">
        <v>11</v>
      </c>
      <c r="D17" s="37" t="s">
        <v>48</v>
      </c>
      <c r="E17" s="41" t="s">
        <v>49</v>
      </c>
      <c r="F17" s="37">
        <f>'Annual Due Amount (Maintenance)'!F17+'Annual Due Amount (Elevator)'!F17</f>
        <v>-1200</v>
      </c>
      <c r="G17" s="37">
        <f>'Annual Due Amount (Maintenance)'!G17+'Annual Due Amount (Elevator)'!G17</f>
        <v>-600</v>
      </c>
      <c r="H17" s="37">
        <f>'Annual Due Amount (Maintenance)'!H17+'Annual Due Amount (Elevator)'!H17</f>
        <v>1800</v>
      </c>
      <c r="I17" s="37">
        <f>'Annual Due Amount (Maintenance)'!I17+'Annual Due Amount (Elevator)'!I17</f>
        <v>-600</v>
      </c>
      <c r="J17" s="37">
        <f>'Annual Due Amount (Maintenance)'!J17+'Annual Due Amount (Elevator)'!J17</f>
        <v>-600</v>
      </c>
      <c r="K17" s="37">
        <f>'Annual Due Amount (Maintenance)'!K17+'Annual Due Amount (Elevator)'!K17</f>
        <v>600</v>
      </c>
      <c r="L17" s="37">
        <f>'Annual Due Amount (Maintenance)'!L17+'Annual Due Amount (Elevator)'!L17</f>
        <v>0</v>
      </c>
      <c r="M17" s="37">
        <f>'Annual Due Amount (Maintenance)'!M17+'Annual Due Amount (Elevator)'!M17</f>
        <v>0</v>
      </c>
      <c r="N17" s="37">
        <f>'Annual Due Amount (Maintenance)'!N17+'Annual Due Amount (Elevator)'!N17</f>
        <v>0</v>
      </c>
      <c r="O17" s="37">
        <f>'Annual Due Amount (Maintenance)'!O17+'Annual Due Amount (Elevator)'!O17</f>
        <v>0</v>
      </c>
      <c r="P17" s="37">
        <f>'Annual Due Amount (Maintenance)'!P17+'Annual Due Amount (Elevator)'!P17</f>
        <v>0</v>
      </c>
      <c r="Q17" s="37">
        <f>'Annual Due Amount (Maintenance)'!Q17+'Annual Due Amount (Elevator)'!Q17</f>
        <v>0</v>
      </c>
      <c r="R17" s="78">
        <f t="shared" si="0"/>
        <v>-600</v>
      </c>
      <c r="S17" t="b">
        <f>F17=January!N17</f>
        <v>0</v>
      </c>
      <c r="T17" t="b">
        <f>(G17+F17)=Feb.!N17</f>
        <v>0</v>
      </c>
      <c r="U17" t="b">
        <f>(F17+G17+H17)=Mar.!N17</f>
        <v>1</v>
      </c>
      <c r="V17" t="b">
        <f>(F17+G17+H17+I17)=Apr.!M18</f>
        <v>0</v>
      </c>
      <c r="W17">
        <f t="shared" si="1"/>
        <v>0</v>
      </c>
      <c r="X17">
        <v>0</v>
      </c>
      <c r="Y17">
        <v>0</v>
      </c>
    </row>
    <row r="18" spans="3:25" ht="18" x14ac:dyDescent="0.45">
      <c r="C18" s="79">
        <v>12</v>
      </c>
      <c r="D18" s="37" t="s">
        <v>50</v>
      </c>
      <c r="E18" s="41" t="s">
        <v>51</v>
      </c>
      <c r="F18" s="37">
        <f>'Annual Due Amount (Maintenance)'!F18+'Annual Due Amount (Elevator)'!F18</f>
        <v>0</v>
      </c>
      <c r="G18" s="37">
        <f>'Annual Due Amount (Maintenance)'!G18+'Annual Due Amount (Elevator)'!G18</f>
        <v>0</v>
      </c>
      <c r="H18" s="37">
        <f>'Annual Due Amount (Maintenance)'!H18+'Annual Due Amount (Elevator)'!H18</f>
        <v>0</v>
      </c>
      <c r="I18" s="37">
        <f>'Annual Due Amount (Maintenance)'!I18+'Annual Due Amount (Elevator)'!I18</f>
        <v>0</v>
      </c>
      <c r="J18" s="37">
        <f>'Annual Due Amount (Maintenance)'!J18+'Annual Due Amount (Elevator)'!J18</f>
        <v>0</v>
      </c>
      <c r="K18" s="37">
        <f>'Annual Due Amount (Maintenance)'!K18+'Annual Due Amount (Elevator)'!K18</f>
        <v>0</v>
      </c>
      <c r="L18" s="37">
        <f>'Annual Due Amount (Maintenance)'!L18+'Annual Due Amount (Elevator)'!L18</f>
        <v>0</v>
      </c>
      <c r="M18" s="37">
        <f>'Annual Due Amount (Maintenance)'!M18+'Annual Due Amount (Elevator)'!M18</f>
        <v>0</v>
      </c>
      <c r="N18" s="37">
        <f>'Annual Due Amount (Maintenance)'!N18+'Annual Due Amount (Elevator)'!N18</f>
        <v>0</v>
      </c>
      <c r="O18" s="37">
        <f>'Annual Due Amount (Maintenance)'!O18+'Annual Due Amount (Elevator)'!O18</f>
        <v>0</v>
      </c>
      <c r="P18" s="37">
        <f>'Annual Due Amount (Maintenance)'!P18+'Annual Due Amount (Elevator)'!P18</f>
        <v>0</v>
      </c>
      <c r="Q18" s="37">
        <f>'Annual Due Amount (Maintenance)'!Q18+'Annual Due Amount (Elevator)'!Q18</f>
        <v>0</v>
      </c>
      <c r="R18" s="78">
        <f t="shared" si="0"/>
        <v>0</v>
      </c>
      <c r="S18" t="b">
        <f>F18=January!N18</f>
        <v>1</v>
      </c>
      <c r="T18" t="b">
        <f>(G18+F18)=Feb.!N18</f>
        <v>1</v>
      </c>
      <c r="U18" t="b">
        <f>(F18+G18+H18)=Mar.!N18</f>
        <v>1</v>
      </c>
      <c r="V18" t="b">
        <f>(F18+G18+H18+I18)=Apr.!M19</f>
        <v>1</v>
      </c>
      <c r="W18">
        <f t="shared" si="1"/>
        <v>0</v>
      </c>
      <c r="X18">
        <v>0</v>
      </c>
      <c r="Y18">
        <v>0</v>
      </c>
    </row>
    <row r="19" spans="3:25" ht="18" x14ac:dyDescent="0.45">
      <c r="C19" s="79">
        <v>13</v>
      </c>
      <c r="D19" s="37" t="s">
        <v>52</v>
      </c>
      <c r="E19" s="41" t="s">
        <v>53</v>
      </c>
      <c r="F19" s="37">
        <f>'Annual Due Amount (Maintenance)'!F19+'Annual Due Amount (Elevator)'!F19</f>
        <v>3600</v>
      </c>
      <c r="G19" s="37">
        <f>'Annual Due Amount (Maintenance)'!G19+'Annual Due Amount (Elevator)'!G19</f>
        <v>-600</v>
      </c>
      <c r="H19" s="37">
        <f>'Annual Due Amount (Maintenance)'!H19+'Annual Due Amount (Elevator)'!H19</f>
        <v>-600</v>
      </c>
      <c r="I19" s="37">
        <f>'Annual Due Amount (Maintenance)'!I19+'Annual Due Amount (Elevator)'!I19</f>
        <v>-600</v>
      </c>
      <c r="J19" s="37">
        <f>'Annual Due Amount (Maintenance)'!J19+'Annual Due Amount (Elevator)'!J19</f>
        <v>-600</v>
      </c>
      <c r="K19" s="37">
        <f>'Annual Due Amount (Maintenance)'!K19+'Annual Due Amount (Elevator)'!K19</f>
        <v>-600</v>
      </c>
      <c r="L19" s="37">
        <f>'Annual Due Amount (Maintenance)'!L19+'Annual Due Amount (Elevator)'!L19</f>
        <v>0</v>
      </c>
      <c r="M19" s="37">
        <f>'Annual Due Amount (Maintenance)'!M19+'Annual Due Amount (Elevator)'!M19</f>
        <v>0</v>
      </c>
      <c r="N19" s="37">
        <f>'Annual Due Amount (Maintenance)'!N19+'Annual Due Amount (Elevator)'!N19</f>
        <v>0</v>
      </c>
      <c r="O19" s="37">
        <f>'Annual Due Amount (Maintenance)'!O19+'Annual Due Amount (Elevator)'!O19</f>
        <v>0</v>
      </c>
      <c r="P19" s="37">
        <f>'Annual Due Amount (Maintenance)'!P19+'Annual Due Amount (Elevator)'!P19</f>
        <v>0</v>
      </c>
      <c r="Q19" s="37">
        <f>'Annual Due Amount (Maintenance)'!Q19+'Annual Due Amount (Elevator)'!Q19</f>
        <v>0</v>
      </c>
      <c r="R19" s="78">
        <f t="shared" si="0"/>
        <v>600</v>
      </c>
      <c r="S19" t="b">
        <f>F19=January!N19</f>
        <v>0</v>
      </c>
      <c r="T19" t="b">
        <f>(G19+F19)=Feb.!N19</f>
        <v>0</v>
      </c>
      <c r="U19" t="b">
        <f>(F19+G19+H19)=Mar.!N19</f>
        <v>0</v>
      </c>
      <c r="V19" t="b">
        <f>(F19+G19+H19+I19)=Apr.!M20</f>
        <v>0</v>
      </c>
      <c r="W19">
        <f t="shared" si="1"/>
        <v>-400</v>
      </c>
      <c r="X19">
        <v>300</v>
      </c>
      <c r="Y19">
        <v>100</v>
      </c>
    </row>
    <row r="20" spans="3:25" ht="18" x14ac:dyDescent="0.45">
      <c r="C20" s="79">
        <v>14</v>
      </c>
      <c r="D20" s="37" t="s">
        <v>169</v>
      </c>
      <c r="E20" s="41" t="s">
        <v>55</v>
      </c>
      <c r="F20" s="37">
        <f>'Annual Due Amount (Maintenance)'!F20+'Annual Due Amount (Elevator)'!F20</f>
        <v>0</v>
      </c>
      <c r="G20" s="37">
        <f>'Annual Due Amount (Maintenance)'!G20+'Annual Due Amount (Elevator)'!G20</f>
        <v>-600</v>
      </c>
      <c r="H20" s="37">
        <f>'Annual Due Amount (Maintenance)'!H20+'Annual Due Amount (Elevator)'!H20</f>
        <v>600</v>
      </c>
      <c r="I20" s="37">
        <f>'Annual Due Amount (Maintenance)'!I20+'Annual Due Amount (Elevator)'!I20</f>
        <v>0</v>
      </c>
      <c r="J20" s="37">
        <f>'Annual Due Amount (Maintenance)'!J20+'Annual Due Amount (Elevator)'!J20</f>
        <v>0</v>
      </c>
      <c r="K20" s="37">
        <f>'Annual Due Amount (Maintenance)'!K20+'Annual Due Amount (Elevator)'!K20</f>
        <v>-600</v>
      </c>
      <c r="L20" s="37">
        <f>'Annual Due Amount (Maintenance)'!L20+'Annual Due Amount (Elevator)'!L20</f>
        <v>0</v>
      </c>
      <c r="M20" s="37">
        <f>'Annual Due Amount (Maintenance)'!M20+'Annual Due Amount (Elevator)'!M20</f>
        <v>0</v>
      </c>
      <c r="N20" s="37">
        <f>'Annual Due Amount (Maintenance)'!N20+'Annual Due Amount (Elevator)'!N20</f>
        <v>0</v>
      </c>
      <c r="O20" s="37">
        <f>'Annual Due Amount (Maintenance)'!O20+'Annual Due Amount (Elevator)'!O20</f>
        <v>0</v>
      </c>
      <c r="P20" s="37">
        <f>'Annual Due Amount (Maintenance)'!P20+'Annual Due Amount (Elevator)'!P20</f>
        <v>0</v>
      </c>
      <c r="Q20" s="37">
        <f>'Annual Due Amount (Maintenance)'!Q20+'Annual Due Amount (Elevator)'!Q20</f>
        <v>0</v>
      </c>
      <c r="R20" s="78">
        <f t="shared" si="0"/>
        <v>-600</v>
      </c>
      <c r="S20" t="b">
        <f>F20=January!N20</f>
        <v>1</v>
      </c>
      <c r="T20" t="b">
        <f>(G20+F20)=Feb.!N20</f>
        <v>0</v>
      </c>
      <c r="U20" t="b">
        <f>(F20+G20+H20)=Mar.!N20</f>
        <v>1</v>
      </c>
      <c r="V20" t="b">
        <f>(F20+G20+H20+I20)=Apr.!M21</f>
        <v>1</v>
      </c>
      <c r="W20">
        <f t="shared" si="1"/>
        <v>0</v>
      </c>
      <c r="X20">
        <v>0</v>
      </c>
      <c r="Y20">
        <v>0</v>
      </c>
    </row>
    <row r="21" spans="3:25" ht="18" x14ac:dyDescent="0.45">
      <c r="C21" s="79">
        <v>15</v>
      </c>
      <c r="D21" s="37" t="s">
        <v>56</v>
      </c>
      <c r="E21" s="41" t="s">
        <v>57</v>
      </c>
      <c r="F21" s="37">
        <f>'Annual Due Amount (Maintenance)'!F21+'Annual Due Amount (Elevator)'!F21</f>
        <v>-2100</v>
      </c>
      <c r="G21" s="37">
        <f>'Annual Due Amount (Maintenance)'!G21+'Annual Due Amount (Elevator)'!G21</f>
        <v>-600</v>
      </c>
      <c r="H21" s="37">
        <f>'Annual Due Amount (Maintenance)'!H21+'Annual Due Amount (Elevator)'!H21</f>
        <v>900</v>
      </c>
      <c r="I21" s="37">
        <f>'Annual Due Amount (Maintenance)'!I21+'Annual Due Amount (Elevator)'!I21</f>
        <v>0</v>
      </c>
      <c r="J21" s="37">
        <f>'Annual Due Amount (Maintenance)'!J21+'Annual Due Amount (Elevator)'!J21</f>
        <v>0</v>
      </c>
      <c r="K21" s="37">
        <f>'Annual Due Amount (Maintenance)'!K21+'Annual Due Amount (Elevator)'!K21</f>
        <v>-600</v>
      </c>
      <c r="L21" s="37">
        <f>'Annual Due Amount (Maintenance)'!L21+'Annual Due Amount (Elevator)'!L21</f>
        <v>0</v>
      </c>
      <c r="M21" s="37">
        <f>'Annual Due Amount (Maintenance)'!M21+'Annual Due Amount (Elevator)'!M21</f>
        <v>0</v>
      </c>
      <c r="N21" s="37">
        <f>'Annual Due Amount (Maintenance)'!N21+'Annual Due Amount (Elevator)'!N21</f>
        <v>0</v>
      </c>
      <c r="O21" s="37">
        <f>'Annual Due Amount (Maintenance)'!O21+'Annual Due Amount (Elevator)'!O21</f>
        <v>0</v>
      </c>
      <c r="P21" s="37">
        <f>'Annual Due Amount (Maintenance)'!P21+'Annual Due Amount (Elevator)'!P21</f>
        <v>0</v>
      </c>
      <c r="Q21" s="37">
        <f>'Annual Due Amount (Maintenance)'!Q21+'Annual Due Amount (Elevator)'!Q21</f>
        <v>0</v>
      </c>
      <c r="R21" s="78">
        <f t="shared" si="0"/>
        <v>-2400</v>
      </c>
      <c r="S21" t="b">
        <f>F21=January!N21</f>
        <v>0</v>
      </c>
      <c r="T21" t="b">
        <f>(G21+F21)=Feb.!N21</f>
        <v>0</v>
      </c>
      <c r="U21" t="b">
        <f>(F21+G21+H21)=Mar.!N21</f>
        <v>0</v>
      </c>
      <c r="V21" t="b">
        <f>(F21+G21+H21+I21)=Apr.!M22</f>
        <v>0</v>
      </c>
      <c r="W21">
        <f t="shared" si="1"/>
        <v>2900</v>
      </c>
      <c r="X21">
        <v>-500</v>
      </c>
      <c r="Y21">
        <v>-2400</v>
      </c>
    </row>
    <row r="22" spans="3:25" ht="25.5" customHeight="1" x14ac:dyDescent="0.45">
      <c r="C22" s="79">
        <v>16</v>
      </c>
      <c r="D22" s="37" t="s">
        <v>58</v>
      </c>
      <c r="E22" s="41" t="s">
        <v>59</v>
      </c>
      <c r="F22" s="37">
        <f>'Annual Due Amount (Maintenance)'!F22+'Annual Due Amount (Elevator)'!F22</f>
        <v>-600</v>
      </c>
      <c r="G22" s="37">
        <f>'Annual Due Amount (Maintenance)'!G22+'Annual Due Amount (Elevator)'!G22</f>
        <v>-600</v>
      </c>
      <c r="H22" s="37">
        <f>'Annual Due Amount (Maintenance)'!H22+'Annual Due Amount (Elevator)'!H22</f>
        <v>-600</v>
      </c>
      <c r="I22" s="37">
        <f>'Annual Due Amount (Maintenance)'!I22+'Annual Due Amount (Elevator)'!I22</f>
        <v>-600</v>
      </c>
      <c r="J22" s="37">
        <f>'Annual Due Amount (Maintenance)'!J22+'Annual Due Amount (Elevator)'!J22</f>
        <v>-600</v>
      </c>
      <c r="K22" s="37">
        <f>'Annual Due Amount (Maintenance)'!K22+'Annual Due Amount (Elevator)'!K22</f>
        <v>-600</v>
      </c>
      <c r="L22" s="37">
        <f>'Annual Due Amount (Maintenance)'!L22+'Annual Due Amount (Elevator)'!L22</f>
        <v>0</v>
      </c>
      <c r="M22" s="37">
        <f>'Annual Due Amount (Maintenance)'!M22+'Annual Due Amount (Elevator)'!M22</f>
        <v>0</v>
      </c>
      <c r="N22" s="37">
        <f>'Annual Due Amount (Maintenance)'!N22+'Annual Due Amount (Elevator)'!N22</f>
        <v>0</v>
      </c>
      <c r="O22" s="37">
        <f>'Annual Due Amount (Maintenance)'!O22+'Annual Due Amount (Elevator)'!O22</f>
        <v>0</v>
      </c>
      <c r="P22" s="37">
        <f>'Annual Due Amount (Maintenance)'!P22+'Annual Due Amount (Elevator)'!P22</f>
        <v>0</v>
      </c>
      <c r="Q22" s="37">
        <f>'Annual Due Amount (Maintenance)'!Q22+'Annual Due Amount (Elevator)'!Q22</f>
        <v>0</v>
      </c>
      <c r="R22" s="78">
        <f t="shared" si="0"/>
        <v>-3600</v>
      </c>
      <c r="S22" t="b">
        <f>F22=January!N22</f>
        <v>0</v>
      </c>
      <c r="T22" t="b">
        <f>(G22+F22)=Feb.!N22</f>
        <v>0</v>
      </c>
      <c r="U22" t="b">
        <f>(F22+G22+H22)=Mar.!N22</f>
        <v>0</v>
      </c>
      <c r="V22" t="b">
        <f>(F22+G22+H22+I22)=Apr.!M23</f>
        <v>0</v>
      </c>
      <c r="W22">
        <f t="shared" si="1"/>
        <v>-600</v>
      </c>
      <c r="X22">
        <v>500</v>
      </c>
      <c r="Y22">
        <v>100</v>
      </c>
    </row>
    <row r="23" spans="3:25" ht="18" x14ac:dyDescent="0.45">
      <c r="C23" s="79">
        <v>17</v>
      </c>
      <c r="D23" s="37" t="s">
        <v>60</v>
      </c>
      <c r="E23" s="41" t="s">
        <v>61</v>
      </c>
      <c r="F23" s="37">
        <f>'Annual Due Amount (Maintenance)'!F23+'Annual Due Amount (Elevator)'!F23</f>
        <v>0</v>
      </c>
      <c r="G23" s="37">
        <f>'Annual Due Amount (Maintenance)'!G23+'Annual Due Amount (Elevator)'!G23</f>
        <v>-600</v>
      </c>
      <c r="H23" s="37">
        <f>'Annual Due Amount (Maintenance)'!H23+'Annual Due Amount (Elevator)'!H23</f>
        <v>-600</v>
      </c>
      <c r="I23" s="37">
        <f>'Annual Due Amount (Maintenance)'!I23+'Annual Due Amount (Elevator)'!I23</f>
        <v>-600</v>
      </c>
      <c r="J23" s="37">
        <f>'Annual Due Amount (Maintenance)'!J23+'Annual Due Amount (Elevator)'!J23</f>
        <v>-600</v>
      </c>
      <c r="K23" s="37">
        <f>'Annual Due Amount (Maintenance)'!K23+'Annual Due Amount (Elevator)'!K23</f>
        <v>-600</v>
      </c>
      <c r="L23" s="37">
        <f>'Annual Due Amount (Maintenance)'!L23+'Annual Due Amount (Elevator)'!L23</f>
        <v>0</v>
      </c>
      <c r="M23" s="37">
        <f>'Annual Due Amount (Maintenance)'!M23+'Annual Due Amount (Elevator)'!M23</f>
        <v>0</v>
      </c>
      <c r="N23" s="37">
        <f>'Annual Due Amount (Maintenance)'!N23+'Annual Due Amount (Elevator)'!N23</f>
        <v>0</v>
      </c>
      <c r="O23" s="37">
        <f>'Annual Due Amount (Maintenance)'!O23+'Annual Due Amount (Elevator)'!O23</f>
        <v>0</v>
      </c>
      <c r="P23" s="37">
        <f>'Annual Due Amount (Maintenance)'!P23+'Annual Due Amount (Elevator)'!P23</f>
        <v>0</v>
      </c>
      <c r="Q23" s="37">
        <f>'Annual Due Amount (Maintenance)'!Q23+'Annual Due Amount (Elevator)'!Q23</f>
        <v>0</v>
      </c>
      <c r="R23" s="78">
        <f t="shared" si="0"/>
        <v>-3000</v>
      </c>
      <c r="S23" t="b">
        <f>F23=January!N23</f>
        <v>1</v>
      </c>
      <c r="T23" t="b">
        <f>(G23+F23)=Feb.!N23</f>
        <v>0</v>
      </c>
      <c r="U23" t="b">
        <f>(F23+G23+H23)=Mar.!N23</f>
        <v>0</v>
      </c>
      <c r="V23" t="b">
        <f>(F23+G23+H23+I23)=Apr.!M24</f>
        <v>0</v>
      </c>
      <c r="W23">
        <f t="shared" si="1"/>
        <v>1800</v>
      </c>
      <c r="X23">
        <v>-1500</v>
      </c>
      <c r="Y23">
        <v>-300</v>
      </c>
    </row>
    <row r="24" spans="3:25" ht="18" x14ac:dyDescent="0.45">
      <c r="C24" s="79">
        <v>18</v>
      </c>
      <c r="D24" s="37" t="s">
        <v>181</v>
      </c>
      <c r="E24" s="41" t="s">
        <v>63</v>
      </c>
      <c r="F24" s="37">
        <f>'Annual Due Amount (Maintenance)'!F24+'Annual Due Amount (Elevator)'!F24</f>
        <v>-300</v>
      </c>
      <c r="G24" s="37">
        <f>'Annual Due Amount (Maintenance)'!G24+'Annual Due Amount (Elevator)'!G24</f>
        <v>-300</v>
      </c>
      <c r="H24" s="37">
        <f>'Annual Due Amount (Maintenance)'!H24+'Annual Due Amount (Elevator)'!H24</f>
        <v>-300</v>
      </c>
      <c r="I24" s="37">
        <f>'Annual Due Amount (Maintenance)'!I24+'Annual Due Amount (Elevator)'!I24</f>
        <v>-300</v>
      </c>
      <c r="J24" s="37">
        <f>'Annual Due Amount (Maintenance)'!J24+'Annual Due Amount (Elevator)'!J24</f>
        <v>-300</v>
      </c>
      <c r="K24" s="37">
        <f>'Annual Due Amount (Maintenance)'!K24+'Annual Due Amount (Elevator)'!K24</f>
        <v>-300</v>
      </c>
      <c r="L24" s="37">
        <f>'Annual Due Amount (Maintenance)'!L24+'Annual Due Amount (Elevator)'!L24</f>
        <v>0</v>
      </c>
      <c r="M24" s="37">
        <f>'Annual Due Amount (Maintenance)'!M24+'Annual Due Amount (Elevator)'!M24</f>
        <v>0</v>
      </c>
      <c r="N24" s="37">
        <f>'Annual Due Amount (Maintenance)'!N24+'Annual Due Amount (Elevator)'!N24</f>
        <v>0</v>
      </c>
      <c r="O24" s="37">
        <f>'Annual Due Amount (Maintenance)'!O24+'Annual Due Amount (Elevator)'!O24</f>
        <v>0</v>
      </c>
      <c r="P24" s="37">
        <f>'Annual Due Amount (Maintenance)'!P24+'Annual Due Amount (Elevator)'!P24</f>
        <v>0</v>
      </c>
      <c r="Q24" s="37">
        <f>'Annual Due Amount (Maintenance)'!Q24+'Annual Due Amount (Elevator)'!Q24</f>
        <v>0</v>
      </c>
      <c r="R24" s="78">
        <f t="shared" si="0"/>
        <v>-1800</v>
      </c>
      <c r="S24" t="b">
        <f>F24=January!N24</f>
        <v>1</v>
      </c>
      <c r="T24" t="b">
        <f>(G24+F24)=Feb.!N24</f>
        <v>1</v>
      </c>
      <c r="U24" t="b">
        <f>(F24+G24+H24)=Mar.!N24</f>
        <v>1</v>
      </c>
      <c r="V24" t="b">
        <f>(F24+G24+H24+I24)=Apr.!M25</f>
        <v>1</v>
      </c>
      <c r="W24">
        <f t="shared" si="1"/>
        <v>-300</v>
      </c>
      <c r="X24">
        <v>300</v>
      </c>
      <c r="Y24">
        <v>0</v>
      </c>
    </row>
    <row r="25" spans="3:25" ht="18" x14ac:dyDescent="0.45">
      <c r="C25" s="79">
        <v>19</v>
      </c>
      <c r="D25" s="37" t="s">
        <v>64</v>
      </c>
      <c r="E25" s="41" t="s">
        <v>65</v>
      </c>
      <c r="F25" s="37">
        <f>'Annual Due Amount (Maintenance)'!F25+'Annual Due Amount (Elevator)'!F25</f>
        <v>0</v>
      </c>
      <c r="G25" s="37">
        <f>'Annual Due Amount (Maintenance)'!G25+'Annual Due Amount (Elevator)'!G25</f>
        <v>0</v>
      </c>
      <c r="H25" s="37">
        <f>'Annual Due Amount (Maintenance)'!H25+'Annual Due Amount (Elevator)'!H25</f>
        <v>0</v>
      </c>
      <c r="I25" s="37">
        <f>'Annual Due Amount (Maintenance)'!I25+'Annual Due Amount (Elevator)'!I25</f>
        <v>0</v>
      </c>
      <c r="J25" s="37">
        <f>'Annual Due Amount (Maintenance)'!J25+'Annual Due Amount (Elevator)'!J25</f>
        <v>0</v>
      </c>
      <c r="K25" s="37">
        <f>'Annual Due Amount (Maintenance)'!K25+'Annual Due Amount (Elevator)'!K25</f>
        <v>0</v>
      </c>
      <c r="L25" s="37">
        <f>'Annual Due Amount (Maintenance)'!L25+'Annual Due Amount (Elevator)'!L25</f>
        <v>0</v>
      </c>
      <c r="M25" s="37">
        <f>'Annual Due Amount (Maintenance)'!M25+'Annual Due Amount (Elevator)'!M25</f>
        <v>0</v>
      </c>
      <c r="N25" s="37">
        <f>'Annual Due Amount (Maintenance)'!N25+'Annual Due Amount (Elevator)'!N25</f>
        <v>0</v>
      </c>
      <c r="O25" s="37">
        <f>'Annual Due Amount (Maintenance)'!O25+'Annual Due Amount (Elevator)'!O25</f>
        <v>0</v>
      </c>
      <c r="P25" s="37">
        <f>'Annual Due Amount (Maintenance)'!P25+'Annual Due Amount (Elevator)'!P25</f>
        <v>0</v>
      </c>
      <c r="Q25" s="37">
        <f>'Annual Due Amount (Maintenance)'!Q25+'Annual Due Amount (Elevator)'!Q25</f>
        <v>0</v>
      </c>
      <c r="R25" s="78">
        <f t="shared" si="0"/>
        <v>0</v>
      </c>
      <c r="S25" t="b">
        <f>F25=January!N25</f>
        <v>1</v>
      </c>
      <c r="T25" t="b">
        <f>(G25+F25)=Feb.!N25</f>
        <v>1</v>
      </c>
      <c r="U25" t="b">
        <f>(F25+G25+H25)=Mar.!N25</f>
        <v>1</v>
      </c>
      <c r="V25" t="b">
        <f>(F25+G25+H25+I25)=Apr.!M26</f>
        <v>1</v>
      </c>
      <c r="W25">
        <f t="shared" si="1"/>
        <v>0</v>
      </c>
      <c r="X25">
        <v>0</v>
      </c>
      <c r="Y25">
        <v>0</v>
      </c>
    </row>
    <row r="26" spans="3:25" ht="18" x14ac:dyDescent="0.45">
      <c r="C26" s="79">
        <v>20</v>
      </c>
      <c r="D26" s="37" t="s">
        <v>130</v>
      </c>
      <c r="E26" s="41" t="s">
        <v>67</v>
      </c>
      <c r="F26" s="37">
        <f>'Annual Due Amount (Maintenance)'!F26+'Annual Due Amount (Elevator)'!F26</f>
        <v>-500</v>
      </c>
      <c r="G26" s="37">
        <f>'Annual Due Amount (Maintenance)'!G26+'Annual Due Amount (Elevator)'!G26</f>
        <v>0</v>
      </c>
      <c r="H26" s="37">
        <f>'Annual Due Amount (Maintenance)'!H26+'Annual Due Amount (Elevator)'!H26</f>
        <v>600</v>
      </c>
      <c r="I26" s="37">
        <f>'Annual Due Amount (Maintenance)'!I26+'Annual Due Amount (Elevator)'!I26</f>
        <v>-600</v>
      </c>
      <c r="J26" s="37">
        <f>'Annual Due Amount (Maintenance)'!J26+'Annual Due Amount (Elevator)'!J26</f>
        <v>0</v>
      </c>
      <c r="K26" s="37">
        <f>'Annual Due Amount (Maintenance)'!K26+'Annual Due Amount (Elevator)'!K26</f>
        <v>-600</v>
      </c>
      <c r="L26" s="37">
        <f>'Annual Due Amount (Maintenance)'!L26+'Annual Due Amount (Elevator)'!L26</f>
        <v>0</v>
      </c>
      <c r="M26" s="37">
        <f>'Annual Due Amount (Maintenance)'!M26+'Annual Due Amount (Elevator)'!M26</f>
        <v>0</v>
      </c>
      <c r="N26" s="37">
        <f>'Annual Due Amount (Maintenance)'!N26+'Annual Due Amount (Elevator)'!N26</f>
        <v>0</v>
      </c>
      <c r="O26" s="37">
        <f>'Annual Due Amount (Maintenance)'!O26+'Annual Due Amount (Elevator)'!O26</f>
        <v>0</v>
      </c>
      <c r="P26" s="37">
        <f>'Annual Due Amount (Maintenance)'!P26+'Annual Due Amount (Elevator)'!P26</f>
        <v>0</v>
      </c>
      <c r="Q26" s="37">
        <f>'Annual Due Amount (Maintenance)'!Q26+'Annual Due Amount (Elevator)'!Q26</f>
        <v>0</v>
      </c>
      <c r="R26" s="78">
        <f t="shared" si="0"/>
        <v>-1100</v>
      </c>
      <c r="S26" t="b">
        <f>F26=January!N26</f>
        <v>0</v>
      </c>
      <c r="T26" t="b">
        <f>(G26+F26)=Feb.!N26</f>
        <v>0</v>
      </c>
      <c r="U26" t="b">
        <f>(F26+G26+H26)=Mar.!N26</f>
        <v>0</v>
      </c>
      <c r="V26" t="b">
        <f>(F26+G26+H26+I26)=Apr.!M27</f>
        <v>1</v>
      </c>
      <c r="W26">
        <f t="shared" si="1"/>
        <v>1200</v>
      </c>
      <c r="X26">
        <v>-900</v>
      </c>
      <c r="Y26">
        <v>-300</v>
      </c>
    </row>
    <row r="27" spans="3:25" ht="18" x14ac:dyDescent="0.45">
      <c r="C27" s="79">
        <v>21</v>
      </c>
      <c r="D27" s="37" t="s">
        <v>68</v>
      </c>
      <c r="E27" s="41" t="s">
        <v>69</v>
      </c>
      <c r="F27" s="37">
        <f>'Annual Due Amount (Maintenance)'!F27+'Annual Due Amount (Elevator)'!F27</f>
        <v>0</v>
      </c>
      <c r="G27" s="37">
        <f>'Annual Due Amount (Maintenance)'!G27+'Annual Due Amount (Elevator)'!G27</f>
        <v>600</v>
      </c>
      <c r="H27" s="37">
        <f>'Annual Due Amount (Maintenance)'!H27+'Annual Due Amount (Elevator)'!H27</f>
        <v>-600</v>
      </c>
      <c r="I27" s="37">
        <f>'Annual Due Amount (Maintenance)'!I27+'Annual Due Amount (Elevator)'!I27</f>
        <v>-600</v>
      </c>
      <c r="J27" s="37">
        <f>'Annual Due Amount (Maintenance)'!J27+'Annual Due Amount (Elevator)'!J27</f>
        <v>600</v>
      </c>
      <c r="K27" s="37">
        <f>'Annual Due Amount (Maintenance)'!K27+'Annual Due Amount (Elevator)'!K27</f>
        <v>-600</v>
      </c>
      <c r="L27" s="37">
        <f>'Annual Due Amount (Maintenance)'!L27+'Annual Due Amount (Elevator)'!L27</f>
        <v>0</v>
      </c>
      <c r="M27" s="37">
        <f>'Annual Due Amount (Maintenance)'!M27+'Annual Due Amount (Elevator)'!M27</f>
        <v>0</v>
      </c>
      <c r="N27" s="37">
        <f>'Annual Due Amount (Maintenance)'!N27+'Annual Due Amount (Elevator)'!N27</f>
        <v>0</v>
      </c>
      <c r="O27" s="37">
        <f>'Annual Due Amount (Maintenance)'!O27+'Annual Due Amount (Elevator)'!O27</f>
        <v>0</v>
      </c>
      <c r="P27" s="37">
        <f>'Annual Due Amount (Maintenance)'!P27+'Annual Due Amount (Elevator)'!P27</f>
        <v>0</v>
      </c>
      <c r="Q27" s="37">
        <f>'Annual Due Amount (Maintenance)'!Q27+'Annual Due Amount (Elevator)'!Q27</f>
        <v>0</v>
      </c>
      <c r="R27" s="78">
        <f t="shared" si="0"/>
        <v>-600</v>
      </c>
      <c r="S27" t="b">
        <f>F27=January!N27</f>
        <v>1</v>
      </c>
      <c r="T27" t="b">
        <f>(G27+F27)=Feb.!N27</f>
        <v>0</v>
      </c>
      <c r="U27" t="b">
        <f>(F27+G27+H27)=Mar.!N27</f>
        <v>1</v>
      </c>
      <c r="V27" t="b">
        <f>(F27+G27+H27+I27)=Apr.!M28</f>
        <v>0</v>
      </c>
      <c r="W27">
        <f t="shared" si="1"/>
        <v>600</v>
      </c>
      <c r="X27">
        <v>-500</v>
      </c>
      <c r="Y27">
        <v>-100</v>
      </c>
    </row>
    <row r="28" spans="3:25" ht="18" x14ac:dyDescent="0.45">
      <c r="C28" s="79">
        <v>22</v>
      </c>
      <c r="D28" s="37" t="s">
        <v>70</v>
      </c>
      <c r="E28" s="41" t="s">
        <v>71</v>
      </c>
      <c r="F28" s="37">
        <f>'Annual Due Amount (Maintenance)'!F28+'Annual Due Amount (Elevator)'!F28</f>
        <v>0</v>
      </c>
      <c r="G28" s="37">
        <f>'Annual Due Amount (Maintenance)'!G28+'Annual Due Amount (Elevator)'!G28</f>
        <v>0</v>
      </c>
      <c r="H28" s="37">
        <f>'Annual Due Amount (Maintenance)'!H28+'Annual Due Amount (Elevator)'!H28</f>
        <v>0</v>
      </c>
      <c r="I28" s="37">
        <f>'Annual Due Amount (Maintenance)'!I28+'Annual Due Amount (Elevator)'!I28</f>
        <v>0</v>
      </c>
      <c r="J28" s="37">
        <f>'Annual Due Amount (Maintenance)'!J28+'Annual Due Amount (Elevator)'!J28</f>
        <v>0</v>
      </c>
      <c r="K28" s="37">
        <f>'Annual Due Amount (Maintenance)'!K28+'Annual Due Amount (Elevator)'!K28</f>
        <v>0</v>
      </c>
      <c r="L28" s="37">
        <f>'Annual Due Amount (Maintenance)'!L28+'Annual Due Amount (Elevator)'!L28</f>
        <v>0</v>
      </c>
      <c r="M28" s="37">
        <f>'Annual Due Amount (Maintenance)'!M28+'Annual Due Amount (Elevator)'!M28</f>
        <v>0</v>
      </c>
      <c r="N28" s="37">
        <f>'Annual Due Amount (Maintenance)'!N28+'Annual Due Amount (Elevator)'!N28</f>
        <v>0</v>
      </c>
      <c r="O28" s="37">
        <f>'Annual Due Amount (Maintenance)'!O28+'Annual Due Amount (Elevator)'!O28</f>
        <v>0</v>
      </c>
      <c r="P28" s="37">
        <f>'Annual Due Amount (Maintenance)'!P28+'Annual Due Amount (Elevator)'!P28</f>
        <v>0</v>
      </c>
      <c r="Q28" s="37">
        <f>'Annual Due Amount (Maintenance)'!Q28+'Annual Due Amount (Elevator)'!Q28</f>
        <v>0</v>
      </c>
      <c r="R28" s="78">
        <f t="shared" si="0"/>
        <v>0</v>
      </c>
      <c r="S28" t="b">
        <f>F28=January!N28</f>
        <v>1</v>
      </c>
      <c r="T28" t="b">
        <f>(G28+F28)=Feb.!N28</f>
        <v>1</v>
      </c>
      <c r="U28" t="b">
        <f>(F28+G28+H28)=Mar.!N28</f>
        <v>1</v>
      </c>
      <c r="V28" t="b">
        <f>(F28+G28+H28+I28)=Apr.!M29</f>
        <v>1</v>
      </c>
      <c r="W28">
        <f t="shared" si="1"/>
        <v>0</v>
      </c>
      <c r="X28">
        <v>0</v>
      </c>
      <c r="Y28">
        <v>0</v>
      </c>
    </row>
    <row r="29" spans="3:25" ht="18" x14ac:dyDescent="0.45">
      <c r="C29" s="79">
        <v>23</v>
      </c>
      <c r="D29" s="37" t="s">
        <v>72</v>
      </c>
      <c r="E29" s="41" t="s">
        <v>73</v>
      </c>
      <c r="F29" s="37">
        <f>'Annual Due Amount (Maintenance)'!F29+'Annual Due Amount (Elevator)'!F29</f>
        <v>0</v>
      </c>
      <c r="G29" s="37">
        <f>'Annual Due Amount (Maintenance)'!G29+'Annual Due Amount (Elevator)'!G29</f>
        <v>0</v>
      </c>
      <c r="H29" s="37">
        <f>'Annual Due Amount (Maintenance)'!H29+'Annual Due Amount (Elevator)'!H29</f>
        <v>0</v>
      </c>
      <c r="I29" s="37">
        <f>'Annual Due Amount (Maintenance)'!I29+'Annual Due Amount (Elevator)'!I29</f>
        <v>0</v>
      </c>
      <c r="J29" s="37">
        <f>'Annual Due Amount (Maintenance)'!J29+'Annual Due Amount (Elevator)'!J29</f>
        <v>0</v>
      </c>
      <c r="K29" s="37">
        <f>'Annual Due Amount (Maintenance)'!K29+'Annual Due Amount (Elevator)'!K29</f>
        <v>0</v>
      </c>
      <c r="L29" s="37">
        <f>'Annual Due Amount (Maintenance)'!L29+'Annual Due Amount (Elevator)'!L29</f>
        <v>0</v>
      </c>
      <c r="M29" s="37">
        <f>'Annual Due Amount (Maintenance)'!M29+'Annual Due Amount (Elevator)'!M29</f>
        <v>0</v>
      </c>
      <c r="N29" s="37">
        <f>'Annual Due Amount (Maintenance)'!N29+'Annual Due Amount (Elevator)'!N29</f>
        <v>0</v>
      </c>
      <c r="O29" s="37">
        <f>'Annual Due Amount (Maintenance)'!O29+'Annual Due Amount (Elevator)'!O29</f>
        <v>0</v>
      </c>
      <c r="P29" s="37">
        <f>'Annual Due Amount (Maintenance)'!P29+'Annual Due Amount (Elevator)'!P29</f>
        <v>0</v>
      </c>
      <c r="Q29" s="37">
        <f>'Annual Due Amount (Maintenance)'!Q29+'Annual Due Amount (Elevator)'!Q29</f>
        <v>0</v>
      </c>
      <c r="R29" s="78">
        <f t="shared" si="0"/>
        <v>0</v>
      </c>
      <c r="S29" t="b">
        <f>F29=January!N29</f>
        <v>1</v>
      </c>
      <c r="T29" t="b">
        <f>(G29+F29)=Feb.!N29</f>
        <v>1</v>
      </c>
      <c r="U29" t="b">
        <f>(F29+G29+H29)=Mar.!N29</f>
        <v>1</v>
      </c>
      <c r="V29" t="b">
        <f>(F29+G29+H29+I29)=Apr.!M30</f>
        <v>1</v>
      </c>
      <c r="W29">
        <f t="shared" si="1"/>
        <v>4400</v>
      </c>
      <c r="X29">
        <v>-3900</v>
      </c>
      <c r="Y29">
        <v>-500</v>
      </c>
    </row>
    <row r="30" spans="3:25" ht="18" x14ac:dyDescent="0.45">
      <c r="C30" s="79">
        <v>24</v>
      </c>
      <c r="D30" s="37" t="s">
        <v>74</v>
      </c>
      <c r="E30" s="41" t="s">
        <v>75</v>
      </c>
      <c r="F30" s="37">
        <f>'Annual Due Amount (Maintenance)'!F30+'Annual Due Amount (Elevator)'!F30</f>
        <v>0</v>
      </c>
      <c r="G30" s="37">
        <f>'Annual Due Amount (Maintenance)'!G30+'Annual Due Amount (Elevator)'!G30</f>
        <v>-600</v>
      </c>
      <c r="H30" s="37">
        <f>'Annual Due Amount (Maintenance)'!H30+'Annual Due Amount (Elevator)'!H30</f>
        <v>0</v>
      </c>
      <c r="I30" s="37">
        <f>'Annual Due Amount (Maintenance)'!I30+'Annual Due Amount (Elevator)'!I30</f>
        <v>0</v>
      </c>
      <c r="J30" s="37">
        <f>'Annual Due Amount (Maintenance)'!J30+'Annual Due Amount (Elevator)'!J30</f>
        <v>600</v>
      </c>
      <c r="K30" s="37">
        <f>'Annual Due Amount (Maintenance)'!K30+'Annual Due Amount (Elevator)'!K30</f>
        <v>-600</v>
      </c>
      <c r="L30" s="37">
        <f>'Annual Due Amount (Maintenance)'!L30+'Annual Due Amount (Elevator)'!L30</f>
        <v>0</v>
      </c>
      <c r="M30" s="37">
        <f>'Annual Due Amount (Maintenance)'!M30+'Annual Due Amount (Elevator)'!M30</f>
        <v>0</v>
      </c>
      <c r="N30" s="37">
        <f>'Annual Due Amount (Maintenance)'!N30+'Annual Due Amount (Elevator)'!N30</f>
        <v>0</v>
      </c>
      <c r="O30" s="37">
        <f>'Annual Due Amount (Maintenance)'!O30+'Annual Due Amount (Elevator)'!O30</f>
        <v>0</v>
      </c>
      <c r="P30" s="37">
        <f>'Annual Due Amount (Maintenance)'!P30+'Annual Due Amount (Elevator)'!P30</f>
        <v>0</v>
      </c>
      <c r="Q30" s="37">
        <f>'Annual Due Amount (Maintenance)'!Q30+'Annual Due Amount (Elevator)'!Q30</f>
        <v>0</v>
      </c>
      <c r="R30" s="78">
        <f t="shared" si="0"/>
        <v>-600</v>
      </c>
      <c r="S30" t="b">
        <f>F30=January!N30</f>
        <v>1</v>
      </c>
      <c r="T30" t="b">
        <f>(G30+F30)=Feb.!N30</f>
        <v>0</v>
      </c>
      <c r="U30" t="b">
        <f>(F30+G30+H30)=Mar.!N30</f>
        <v>0</v>
      </c>
      <c r="V30" t="b">
        <f>(F30+G30+H30+I30)=Apr.!M31</f>
        <v>0</v>
      </c>
      <c r="W30">
        <f t="shared" si="1"/>
        <v>600</v>
      </c>
      <c r="X30">
        <v>-500</v>
      </c>
      <c r="Y30">
        <v>-100</v>
      </c>
    </row>
    <row r="31" spans="3:25" ht="18" x14ac:dyDescent="0.45">
      <c r="C31" s="79">
        <v>25</v>
      </c>
      <c r="D31" s="37" t="s">
        <v>76</v>
      </c>
      <c r="E31" s="41" t="s">
        <v>77</v>
      </c>
      <c r="F31" s="37">
        <f>'Annual Due Amount (Maintenance)'!F31+'Annual Due Amount (Elevator)'!F31</f>
        <v>0</v>
      </c>
      <c r="G31" s="37">
        <f>'Annual Due Amount (Maintenance)'!G31+'Annual Due Amount (Elevator)'!G31</f>
        <v>0</v>
      </c>
      <c r="H31" s="37">
        <f>'Annual Due Amount (Maintenance)'!H31+'Annual Due Amount (Elevator)'!H31</f>
        <v>0</v>
      </c>
      <c r="I31" s="37">
        <f>'Annual Due Amount (Maintenance)'!I31+'Annual Due Amount (Elevator)'!I31</f>
        <v>0</v>
      </c>
      <c r="J31" s="37">
        <f>'Annual Due Amount (Maintenance)'!J31+'Annual Due Amount (Elevator)'!J31</f>
        <v>0</v>
      </c>
      <c r="K31" s="37">
        <f>'Annual Due Amount (Maintenance)'!K31+'Annual Due Amount (Elevator)'!K31</f>
        <v>0</v>
      </c>
      <c r="L31" s="37">
        <f>'Annual Due Amount (Maintenance)'!L31+'Annual Due Amount (Elevator)'!L31</f>
        <v>0</v>
      </c>
      <c r="M31" s="37">
        <f>'Annual Due Amount (Maintenance)'!M31+'Annual Due Amount (Elevator)'!M31</f>
        <v>0</v>
      </c>
      <c r="N31" s="37">
        <f>'Annual Due Amount (Maintenance)'!N31+'Annual Due Amount (Elevator)'!N31</f>
        <v>0</v>
      </c>
      <c r="O31" s="37">
        <f>'Annual Due Amount (Maintenance)'!O31+'Annual Due Amount (Elevator)'!O31</f>
        <v>0</v>
      </c>
      <c r="P31" s="37">
        <f>'Annual Due Amount (Maintenance)'!P31+'Annual Due Amount (Elevator)'!P31</f>
        <v>0</v>
      </c>
      <c r="Q31" s="37">
        <f>'Annual Due Amount (Maintenance)'!Q31+'Annual Due Amount (Elevator)'!Q31</f>
        <v>0</v>
      </c>
      <c r="R31" s="78">
        <f t="shared" si="0"/>
        <v>0</v>
      </c>
      <c r="S31" t="b">
        <f>F31=January!N31</f>
        <v>1</v>
      </c>
      <c r="T31" t="b">
        <f>(G31+F31)=Feb.!N31</f>
        <v>1</v>
      </c>
      <c r="U31" t="b">
        <f>(F31+G31+H31)=Mar.!N31</f>
        <v>1</v>
      </c>
      <c r="V31" t="b">
        <f>(F31+G31+H31+I31)=Apr.!M32</f>
        <v>1</v>
      </c>
      <c r="W31">
        <f t="shared" si="1"/>
        <v>0</v>
      </c>
      <c r="X31">
        <v>0</v>
      </c>
      <c r="Y31">
        <v>0</v>
      </c>
    </row>
    <row r="32" spans="3:25" ht="18" x14ac:dyDescent="0.45">
      <c r="C32" s="79">
        <v>26</v>
      </c>
      <c r="D32" s="37" t="s">
        <v>78</v>
      </c>
      <c r="E32" s="41" t="s">
        <v>79</v>
      </c>
      <c r="F32" s="37">
        <f>'Annual Due Amount (Maintenance)'!F32+'Annual Due Amount (Elevator)'!F32</f>
        <v>-400</v>
      </c>
      <c r="G32" s="37">
        <f>'Annual Due Amount (Maintenance)'!G32+'Annual Due Amount (Elevator)'!G32</f>
        <v>-400</v>
      </c>
      <c r="H32" s="37">
        <f>'Annual Due Amount (Maintenance)'!H32+'Annual Due Amount (Elevator)'!H32</f>
        <v>-400</v>
      </c>
      <c r="I32" s="37">
        <f>'Annual Due Amount (Maintenance)'!I32+'Annual Due Amount (Elevator)'!I32</f>
        <v>1200</v>
      </c>
      <c r="J32" s="37">
        <f>'Annual Due Amount (Maintenance)'!J32+'Annual Due Amount (Elevator)'!J32</f>
        <v>0</v>
      </c>
      <c r="K32" s="37">
        <f>'Annual Due Amount (Maintenance)'!K32+'Annual Due Amount (Elevator)'!K32</f>
        <v>-400</v>
      </c>
      <c r="L32" s="37">
        <f>'Annual Due Amount (Maintenance)'!L32+'Annual Due Amount (Elevator)'!L32</f>
        <v>0</v>
      </c>
      <c r="M32" s="37">
        <f>'Annual Due Amount (Maintenance)'!M32+'Annual Due Amount (Elevator)'!M32</f>
        <v>0</v>
      </c>
      <c r="N32" s="37">
        <f>'Annual Due Amount (Maintenance)'!N32+'Annual Due Amount (Elevator)'!N32</f>
        <v>0</v>
      </c>
      <c r="O32" s="37">
        <f>'Annual Due Amount (Maintenance)'!O32+'Annual Due Amount (Elevator)'!O32</f>
        <v>0</v>
      </c>
      <c r="P32" s="37">
        <f>'Annual Due Amount (Maintenance)'!P32+'Annual Due Amount (Elevator)'!P32</f>
        <v>0</v>
      </c>
      <c r="Q32" s="37">
        <f>'Annual Due Amount (Maintenance)'!Q32+'Annual Due Amount (Elevator)'!Q32</f>
        <v>0</v>
      </c>
      <c r="R32" s="78">
        <f t="shared" si="0"/>
        <v>-400</v>
      </c>
      <c r="S32" t="b">
        <f>F32=January!N32</f>
        <v>0</v>
      </c>
      <c r="T32" t="b">
        <f>(G32+F32)=Feb.!N32</f>
        <v>0</v>
      </c>
      <c r="U32" t="b">
        <f>(F32+G32+H32)=Mar.!N32</f>
        <v>0</v>
      </c>
      <c r="V32" t="b">
        <f>(F32+G32+H32+I32)=Apr.!M33</f>
        <v>1</v>
      </c>
      <c r="W32">
        <f t="shared" si="1"/>
        <v>400</v>
      </c>
      <c r="X32">
        <v>-300</v>
      </c>
      <c r="Y32">
        <v>-100</v>
      </c>
    </row>
    <row r="33" spans="3:22" ht="23.65" thickBot="1" x14ac:dyDescent="0.5">
      <c r="C33" s="157" t="s">
        <v>80</v>
      </c>
      <c r="D33" s="158"/>
      <c r="E33" s="159"/>
      <c r="F33" s="30">
        <f>SUM(F7:F32)</f>
        <v>-10800</v>
      </c>
      <c r="G33" s="30">
        <f t="shared" ref="G33:R33" si="2">SUM(G7:G32)</f>
        <v>-6300</v>
      </c>
      <c r="H33" s="30">
        <f t="shared" si="2"/>
        <v>1700</v>
      </c>
      <c r="I33" s="30">
        <f t="shared" si="2"/>
        <v>-2700</v>
      </c>
      <c r="J33" s="30">
        <f t="shared" si="2"/>
        <v>1500</v>
      </c>
      <c r="K33" s="30">
        <f t="shared" si="2"/>
        <v>-6900</v>
      </c>
      <c r="L33" s="30">
        <f t="shared" si="2"/>
        <v>0</v>
      </c>
      <c r="M33" s="30">
        <f t="shared" si="2"/>
        <v>0</v>
      </c>
      <c r="N33" s="30">
        <f t="shared" si="2"/>
        <v>0</v>
      </c>
      <c r="O33" s="30">
        <f t="shared" si="2"/>
        <v>0</v>
      </c>
      <c r="P33" s="30">
        <f t="shared" si="2"/>
        <v>0</v>
      </c>
      <c r="Q33" s="77">
        <f t="shared" si="2"/>
        <v>0</v>
      </c>
      <c r="R33" s="30">
        <f t="shared" si="2"/>
        <v>-23500</v>
      </c>
      <c r="S33" t="b">
        <f>F33=January!N33</f>
        <v>0</v>
      </c>
      <c r="T33" t="b">
        <f>(G33+F33)=Feb.!N33</f>
        <v>0</v>
      </c>
      <c r="U33" t="b">
        <f>(F33+G33+H33)=Mar.!N33</f>
        <v>0</v>
      </c>
      <c r="V33" t="b">
        <f>(F33+G33+H33+I33)=Apr.!M35</f>
        <v>0</v>
      </c>
    </row>
    <row r="34" spans="3:22" x14ac:dyDescent="0.45"/>
    <row r="35" spans="3:22" x14ac:dyDescent="0.45"/>
    <row r="36" spans="3:22" x14ac:dyDescent="0.45"/>
    <row r="37" spans="3:22" x14ac:dyDescent="0.45"/>
    <row r="38" spans="3:22" ht="27.75" customHeight="1" x14ac:dyDescent="0.45"/>
    <row r="39" spans="3:22" ht="21.75" customHeight="1" x14ac:dyDescent="0.45"/>
  </sheetData>
  <mergeCells count="3">
    <mergeCell ref="C3:R3"/>
    <mergeCell ref="C4:R4"/>
    <mergeCell ref="C33:E33"/>
  </mergeCells>
  <pageMargins left="0.7" right="0.7" top="0.75" bottom="0.75" header="0.3" footer="0.3"/>
  <pageSetup scale="4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B8A9-4874-41E5-BF59-500401DCB926}">
  <dimension ref="A4:A20"/>
  <sheetViews>
    <sheetView showGridLines="0" zoomScale="70" zoomScaleNormal="70" workbookViewId="0">
      <selection activeCell="G2" sqref="G2:K24"/>
    </sheetView>
  </sheetViews>
  <sheetFormatPr defaultRowHeight="14.25" x14ac:dyDescent="0.45"/>
  <cols>
    <col min="8" max="8" width="16.86328125" customWidth="1"/>
    <col min="9" max="9" width="29.73046875" customWidth="1"/>
    <col min="10" max="10" width="22.1328125" customWidth="1"/>
  </cols>
  <sheetData>
    <row r="4" ht="20.100000000000001" customHeight="1" x14ac:dyDescent="0.45"/>
    <row r="5" ht="7.5" customHeight="1" x14ac:dyDescent="0.45"/>
    <row r="6" ht="20.100000000000001" customHeight="1" x14ac:dyDescent="0.45"/>
    <row r="10" ht="5.0999999999999996" customHeight="1" x14ac:dyDescent="0.45"/>
    <row r="11" ht="20.100000000000001" customHeight="1" x14ac:dyDescent="0.45"/>
    <row r="13" ht="20.100000000000001" customHeight="1" x14ac:dyDescent="0.45"/>
    <row r="17" ht="5.0999999999999996" customHeight="1" x14ac:dyDescent="0.45"/>
    <row r="18" ht="20.100000000000001" customHeight="1" x14ac:dyDescent="0.45"/>
    <row r="19" ht="5.65" customHeight="1" x14ac:dyDescent="0.45"/>
    <row r="20" ht="20.100000000000001" customHeight="1" x14ac:dyDescent="0.4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4:J38"/>
  <sheetViews>
    <sheetView showGridLines="0" topLeftCell="A7" workbookViewId="0">
      <selection activeCell="C27" sqref="C27"/>
    </sheetView>
  </sheetViews>
  <sheetFormatPr defaultRowHeight="14.25" x14ac:dyDescent="0.45"/>
  <cols>
    <col min="6" max="6" width="15.3984375" customWidth="1"/>
    <col min="7" max="7" width="17.265625" customWidth="1"/>
    <col min="8" max="8" width="9.59765625" customWidth="1"/>
    <col min="9" max="9" width="25.86328125" customWidth="1"/>
  </cols>
  <sheetData>
    <row r="4" spans="6:10" ht="14.65" thickBot="1" x14ac:dyDescent="0.5"/>
    <row r="5" spans="6:10" ht="35.65" thickBot="1" x14ac:dyDescent="0.5">
      <c r="F5" s="13" t="s">
        <v>154</v>
      </c>
      <c r="G5" s="14" t="s">
        <v>155</v>
      </c>
      <c r="H5" s="14" t="s">
        <v>27</v>
      </c>
      <c r="I5" s="14" t="s">
        <v>26</v>
      </c>
      <c r="J5" s="14" t="s">
        <v>16</v>
      </c>
    </row>
    <row r="6" spans="6:10" ht="18.399999999999999" thickBot="1" x14ac:dyDescent="0.5">
      <c r="F6" s="16">
        <v>0</v>
      </c>
      <c r="G6" s="17">
        <v>300</v>
      </c>
      <c r="H6" s="18" t="s">
        <v>30</v>
      </c>
      <c r="I6" s="7" t="s">
        <v>29</v>
      </c>
      <c r="J6" s="8">
        <v>1</v>
      </c>
    </row>
    <row r="7" spans="6:10" ht="18.399999999999999" thickBot="1" x14ac:dyDescent="0.5">
      <c r="F7" s="16">
        <v>0</v>
      </c>
      <c r="G7" s="17">
        <v>0</v>
      </c>
      <c r="H7" s="18" t="s">
        <v>31</v>
      </c>
      <c r="I7" s="7" t="s">
        <v>156</v>
      </c>
      <c r="J7" s="8">
        <v>2</v>
      </c>
    </row>
    <row r="8" spans="6:10" ht="18.399999999999999" thickBot="1" x14ac:dyDescent="0.5">
      <c r="F8" s="16">
        <v>0</v>
      </c>
      <c r="G8" s="17">
        <v>0</v>
      </c>
      <c r="H8" s="18" t="s">
        <v>37</v>
      </c>
      <c r="I8" s="7" t="s">
        <v>36</v>
      </c>
      <c r="J8" s="8">
        <v>3</v>
      </c>
    </row>
    <row r="9" spans="6:10" ht="18.399999999999999" thickBot="1" x14ac:dyDescent="0.5">
      <c r="F9" s="16">
        <v>0</v>
      </c>
      <c r="G9" s="19">
        <v>800</v>
      </c>
      <c r="H9" s="18" t="s">
        <v>39</v>
      </c>
      <c r="I9" s="7" t="s">
        <v>38</v>
      </c>
      <c r="J9" s="8">
        <v>4</v>
      </c>
    </row>
    <row r="10" spans="6:10" ht="18.399999999999999" thickBot="1" x14ac:dyDescent="0.5">
      <c r="F10" s="16">
        <v>0</v>
      </c>
      <c r="G10" s="19">
        <v>2000</v>
      </c>
      <c r="H10" s="18" t="s">
        <v>41</v>
      </c>
      <c r="I10" s="7" t="s">
        <v>40</v>
      </c>
      <c r="J10" s="8">
        <v>5</v>
      </c>
    </row>
    <row r="11" spans="6:10" ht="18.399999999999999" thickBot="1" x14ac:dyDescent="0.5">
      <c r="F11" s="16">
        <v>0</v>
      </c>
      <c r="G11" s="17">
        <v>300</v>
      </c>
      <c r="H11" s="20" t="s">
        <v>49</v>
      </c>
      <c r="I11" s="9" t="s">
        <v>157</v>
      </c>
      <c r="J11" s="8">
        <v>6</v>
      </c>
    </row>
    <row r="12" spans="6:10" ht="18.399999999999999" thickBot="1" x14ac:dyDescent="0.5">
      <c r="F12" s="16">
        <v>0</v>
      </c>
      <c r="G12" s="17">
        <v>0</v>
      </c>
      <c r="H12" s="20" t="s">
        <v>51</v>
      </c>
      <c r="I12" s="9" t="s">
        <v>50</v>
      </c>
      <c r="J12" s="8">
        <v>7</v>
      </c>
    </row>
    <row r="13" spans="6:10" ht="18.399999999999999" thickBot="1" x14ac:dyDescent="0.5">
      <c r="F13" s="16">
        <v>0</v>
      </c>
      <c r="G13" s="17"/>
      <c r="H13" s="20" t="s">
        <v>59</v>
      </c>
      <c r="I13" s="9" t="s">
        <v>58</v>
      </c>
      <c r="J13" s="8">
        <v>8</v>
      </c>
    </row>
    <row r="14" spans="6:10" ht="18.399999999999999" thickBot="1" x14ac:dyDescent="0.5">
      <c r="F14" s="16">
        <v>0</v>
      </c>
      <c r="G14" s="19">
        <v>300</v>
      </c>
      <c r="H14" s="20" t="s">
        <v>61</v>
      </c>
      <c r="I14" s="9" t="s">
        <v>60</v>
      </c>
      <c r="J14" s="8">
        <v>9</v>
      </c>
    </row>
    <row r="15" spans="6:10" ht="18.399999999999999" thickBot="1" x14ac:dyDescent="0.5">
      <c r="F15" s="16">
        <v>0</v>
      </c>
      <c r="G15" s="19">
        <v>200</v>
      </c>
      <c r="H15" s="20" t="s">
        <v>63</v>
      </c>
      <c r="I15" s="9" t="s">
        <v>62</v>
      </c>
      <c r="J15" s="8">
        <v>10</v>
      </c>
    </row>
    <row r="16" spans="6:10" ht="18.399999999999999" thickBot="1" x14ac:dyDescent="0.5">
      <c r="F16" s="16">
        <v>0</v>
      </c>
      <c r="G16" s="19">
        <v>0</v>
      </c>
      <c r="H16" s="20" t="s">
        <v>71</v>
      </c>
      <c r="I16" s="9" t="s">
        <v>70</v>
      </c>
      <c r="J16" s="8">
        <v>11</v>
      </c>
    </row>
    <row r="17" spans="6:10" ht="18.399999999999999" thickBot="1" x14ac:dyDescent="0.5">
      <c r="F17" s="16">
        <v>0</v>
      </c>
      <c r="G17" s="21">
        <v>0</v>
      </c>
      <c r="H17" s="22" t="s">
        <v>73</v>
      </c>
      <c r="I17" s="10" t="s">
        <v>72</v>
      </c>
      <c r="J17" s="11">
        <v>12</v>
      </c>
    </row>
    <row r="18" spans="6:10" ht="18.399999999999999" thickBot="1" x14ac:dyDescent="0.5">
      <c r="F18" s="12">
        <f>SUM(F6:F17)</f>
        <v>0</v>
      </c>
      <c r="G18" s="12">
        <f>SUM(G6:G17)</f>
        <v>3900</v>
      </c>
      <c r="H18" s="180" t="s">
        <v>158</v>
      </c>
      <c r="I18" s="181"/>
      <c r="J18" s="182"/>
    </row>
    <row r="19" spans="6:10" ht="18" thickBot="1" x14ac:dyDescent="0.5">
      <c r="J19" s="8"/>
    </row>
    <row r="20" spans="6:10" ht="35.65" thickBot="1" x14ac:dyDescent="0.5">
      <c r="F20" s="13" t="s">
        <v>154</v>
      </c>
      <c r="G20" s="14" t="s">
        <v>155</v>
      </c>
      <c r="H20" s="14" t="s">
        <v>27</v>
      </c>
      <c r="I20" s="14" t="s">
        <v>26</v>
      </c>
      <c r="J20" s="15" t="s">
        <v>16</v>
      </c>
    </row>
    <row r="21" spans="6:10" ht="18.399999999999999" thickBot="1" x14ac:dyDescent="0.5">
      <c r="F21" s="3"/>
      <c r="G21" s="2">
        <v>2400</v>
      </c>
      <c r="H21" s="18" t="s">
        <v>33</v>
      </c>
      <c r="I21" s="7" t="s">
        <v>32</v>
      </c>
      <c r="J21" s="8">
        <v>13</v>
      </c>
    </row>
    <row r="22" spans="6:10" ht="18.399999999999999" thickBot="1" x14ac:dyDescent="0.5">
      <c r="F22" s="1"/>
      <c r="G22" s="4">
        <v>600</v>
      </c>
      <c r="H22" s="18" t="s">
        <v>35</v>
      </c>
      <c r="I22" s="7" t="s">
        <v>34</v>
      </c>
      <c r="J22" s="8">
        <v>14</v>
      </c>
    </row>
    <row r="23" spans="6:10" ht="18.399999999999999" thickBot="1" x14ac:dyDescent="0.5">
      <c r="F23" s="1"/>
      <c r="G23" s="4">
        <v>400</v>
      </c>
      <c r="H23" s="20" t="s">
        <v>43</v>
      </c>
      <c r="I23" s="9" t="s">
        <v>42</v>
      </c>
      <c r="J23" s="8">
        <v>15</v>
      </c>
    </row>
    <row r="24" spans="6:10" ht="18.399999999999999" thickBot="1" x14ac:dyDescent="0.5">
      <c r="F24" s="1"/>
      <c r="G24" s="4">
        <v>600</v>
      </c>
      <c r="H24" s="20" t="s">
        <v>45</v>
      </c>
      <c r="I24" s="9" t="s">
        <v>44</v>
      </c>
      <c r="J24" s="8">
        <v>16</v>
      </c>
    </row>
    <row r="25" spans="6:10" ht="18.399999999999999" thickBot="1" x14ac:dyDescent="0.5">
      <c r="F25" s="1"/>
      <c r="G25" s="2">
        <v>900</v>
      </c>
      <c r="H25" s="20" t="s">
        <v>47</v>
      </c>
      <c r="I25" s="9" t="s">
        <v>46</v>
      </c>
      <c r="J25" s="8">
        <v>17</v>
      </c>
    </row>
    <row r="26" spans="6:10" ht="18.399999999999999" thickBot="1" x14ac:dyDescent="0.5">
      <c r="F26" s="1"/>
      <c r="G26" s="2">
        <v>0</v>
      </c>
      <c r="H26" s="20" t="s">
        <v>53</v>
      </c>
      <c r="I26" s="9" t="s">
        <v>159</v>
      </c>
      <c r="J26" s="8">
        <v>18</v>
      </c>
    </row>
    <row r="27" spans="6:10" ht="18.399999999999999" thickBot="1" x14ac:dyDescent="0.5">
      <c r="F27" s="1"/>
      <c r="G27" s="4">
        <v>400</v>
      </c>
      <c r="H27" s="20" t="s">
        <v>55</v>
      </c>
      <c r="I27" s="9" t="s">
        <v>54</v>
      </c>
      <c r="J27" s="8">
        <v>19</v>
      </c>
    </row>
    <row r="28" spans="6:10" ht="18.399999999999999" thickBot="1" x14ac:dyDescent="0.5">
      <c r="F28" s="1"/>
      <c r="G28" s="2">
        <v>0</v>
      </c>
      <c r="H28" s="20" t="s">
        <v>57</v>
      </c>
      <c r="I28" s="9" t="s">
        <v>160</v>
      </c>
      <c r="J28" s="8">
        <v>20</v>
      </c>
    </row>
    <row r="29" spans="6:10" ht="18.399999999999999" thickBot="1" x14ac:dyDescent="0.5">
      <c r="F29" s="1"/>
      <c r="G29" s="4">
        <v>0</v>
      </c>
      <c r="H29" s="20" t="s">
        <v>65</v>
      </c>
      <c r="I29" s="9" t="s">
        <v>64</v>
      </c>
      <c r="J29" s="8">
        <v>21</v>
      </c>
    </row>
    <row r="30" spans="6:10" ht="18.399999999999999" thickBot="1" x14ac:dyDescent="0.5">
      <c r="F30" s="1"/>
      <c r="G30" s="4">
        <v>400</v>
      </c>
      <c r="H30" s="20" t="s">
        <v>67</v>
      </c>
      <c r="I30" s="9" t="s">
        <v>66</v>
      </c>
      <c r="J30" s="8">
        <v>22</v>
      </c>
    </row>
    <row r="31" spans="6:10" ht="18.399999999999999" thickBot="1" x14ac:dyDescent="0.5">
      <c r="F31" s="1"/>
      <c r="G31" s="4">
        <v>300</v>
      </c>
      <c r="H31" s="20" t="s">
        <v>69</v>
      </c>
      <c r="I31" s="9" t="s">
        <v>68</v>
      </c>
      <c r="J31" s="8">
        <v>23</v>
      </c>
    </row>
    <row r="32" spans="6:10" ht="18.399999999999999" thickBot="1" x14ac:dyDescent="0.5">
      <c r="F32" s="1"/>
      <c r="G32" s="2">
        <v>300</v>
      </c>
      <c r="H32" s="20" t="s">
        <v>75</v>
      </c>
      <c r="I32" s="9" t="s">
        <v>74</v>
      </c>
      <c r="J32" s="8">
        <v>24</v>
      </c>
    </row>
    <row r="33" spans="6:10" ht="18.399999999999999" thickBot="1" x14ac:dyDescent="0.5">
      <c r="F33" s="1">
        <v>4600</v>
      </c>
      <c r="G33" s="4">
        <v>600</v>
      </c>
      <c r="H33" s="20" t="s">
        <v>77</v>
      </c>
      <c r="I33" s="9" t="s">
        <v>161</v>
      </c>
      <c r="J33" s="8">
        <v>25</v>
      </c>
    </row>
    <row r="34" spans="6:10" ht="18.399999999999999" thickBot="1" x14ac:dyDescent="0.5">
      <c r="F34" s="5"/>
      <c r="G34" s="6">
        <v>300</v>
      </c>
      <c r="H34" s="22" t="s">
        <v>79</v>
      </c>
      <c r="I34" s="10" t="s">
        <v>78</v>
      </c>
      <c r="J34" s="11">
        <v>26</v>
      </c>
    </row>
    <row r="35" spans="6:10" ht="18.399999999999999" thickBot="1" x14ac:dyDescent="0.5">
      <c r="F35" s="12">
        <f>SUM(F23:F34)</f>
        <v>4600</v>
      </c>
      <c r="G35" s="12">
        <f>SUM(G21:G34)</f>
        <v>7200</v>
      </c>
      <c r="H35" s="180" t="s">
        <v>162</v>
      </c>
      <c r="I35" s="181"/>
      <c r="J35" s="182"/>
    </row>
    <row r="36" spans="6:10" ht="13.15" customHeight="1" thickBot="1" x14ac:dyDescent="0.5"/>
    <row r="37" spans="6:10" ht="14.65" hidden="1" thickBot="1" x14ac:dyDescent="0.5"/>
    <row r="38" spans="6:10" ht="18.399999999999999" thickBot="1" x14ac:dyDescent="0.5">
      <c r="F38" s="12">
        <f>F35+F18</f>
        <v>4600</v>
      </c>
      <c r="G38" s="12">
        <f>G35+G18</f>
        <v>11100</v>
      </c>
      <c r="H38" s="180" t="s">
        <v>163</v>
      </c>
      <c r="I38" s="181"/>
      <c r="J38" s="182"/>
    </row>
  </sheetData>
  <mergeCells count="3">
    <mergeCell ref="H18:J18"/>
    <mergeCell ref="H35:J35"/>
    <mergeCell ref="H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Check Error</vt:lpstr>
      <vt:lpstr>Summary Sheet</vt:lpstr>
      <vt:lpstr>YTD Income (Combined)</vt:lpstr>
      <vt:lpstr>Annual expenses (combined)</vt:lpstr>
      <vt:lpstr>YTD expense Analysis </vt:lpstr>
      <vt:lpstr>January</vt:lpstr>
      <vt:lpstr>Feb.</vt:lpstr>
      <vt:lpstr>Mar.</vt:lpstr>
      <vt:lpstr>Apr.</vt:lpstr>
      <vt:lpstr>May</vt:lpstr>
      <vt:lpstr>Jun</vt:lpstr>
      <vt:lpstr>Jul</vt:lpstr>
      <vt:lpstr>Aug</vt:lpstr>
      <vt:lpstr>Sep</vt:lpstr>
      <vt:lpstr>Oct</vt:lpstr>
      <vt:lpstr>Nov</vt:lpstr>
      <vt:lpstr>Dec</vt:lpstr>
      <vt:lpstr>Annual income ( Elevator)</vt:lpstr>
      <vt:lpstr>Annual income (maintenenace)</vt:lpstr>
      <vt:lpstr>Annual Income (Combined)</vt:lpstr>
      <vt:lpstr>Annual Due Amount (Maintenance)</vt:lpstr>
      <vt:lpstr>Annual Due Amount (Elevator)</vt:lpstr>
      <vt:lpstr>Annual Due Amount (combined)</vt:lpstr>
      <vt:lpstr>Sheet3</vt:lpstr>
      <vt:lpstr>Feb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Ehab Mahmoud</dc:creator>
  <cp:keywords/>
  <dc:description/>
  <cp:lastModifiedBy>ehab mahdy</cp:lastModifiedBy>
  <cp:revision/>
  <dcterms:created xsi:type="dcterms:W3CDTF">2021-07-06T15:39:39Z</dcterms:created>
  <dcterms:modified xsi:type="dcterms:W3CDTF">2026-06-01T14:50:13Z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6271749b-f631-4bf9-9bc3-a626a7fee996</vt:lpwstr>
  </property>
  <property fmtid="{D5CDD505-2E9C-101B-9397-08002B2CF9AE}" pid="3" name="CLASSIFICATION">
    <vt:lpwstr>BA_PUBLIC</vt:lpwstr>
  </property>
</Properties>
</file>